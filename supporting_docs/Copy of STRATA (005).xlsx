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ontariogov-my.sharepoint.com/personal/jill_dilts_ontario_ca/Documents/Documents/repos/2021-22-apprenticeship-survey/supporting_docs/"/>
    </mc:Choice>
  </mc:AlternateContent>
  <xr:revisionPtr revIDLastSave="16" documentId="8_{8EA9DA23-6BF6-429D-8FD9-51BDC8C2AAFE}" xr6:coauthVersionLast="45" xr6:coauthVersionMax="45" xr10:uidLastSave="{767FEF35-8912-4A24-955A-5A718BE97A0E}"/>
  <bookViews>
    <workbookView xWindow="7530" yWindow="-21230" windowWidth="18810" windowHeight="10780" xr2:uid="{00000000-000D-0000-FFFF-FFFF00000000}"/>
  </bookViews>
  <sheets>
    <sheet name="sample size calcul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2" i="2" l="1"/>
  <c r="D9" i="2"/>
  <c r="N4" i="2"/>
  <c r="K4" i="2"/>
  <c r="Q8" i="2"/>
  <c r="L4" i="2"/>
  <c r="H4" i="2"/>
  <c r="G4" i="2"/>
  <c r="N16" i="2" l="1"/>
  <c r="N15" i="2"/>
  <c r="N14" i="2"/>
  <c r="C9" i="2"/>
  <c r="J9" i="2" s="1"/>
  <c r="C8" i="2"/>
  <c r="H8" i="2" s="1"/>
  <c r="G8" i="2" l="1"/>
  <c r="J8" i="2"/>
  <c r="K8" i="2" s="1"/>
  <c r="C7" i="2"/>
  <c r="J7" i="2" l="1"/>
  <c r="K7" i="2" s="1"/>
  <c r="C4" i="2"/>
  <c r="C5" i="2"/>
  <c r="H5" i="2" s="1"/>
  <c r="C6" i="2"/>
  <c r="G7" i="2"/>
  <c r="H7" i="2"/>
  <c r="J4" i="2" l="1"/>
  <c r="G5" i="2"/>
  <c r="J5" i="2"/>
  <c r="K5" i="2" s="1"/>
  <c r="J6" i="2"/>
  <c r="K6" i="2" s="1"/>
  <c r="H6" i="2"/>
  <c r="G6" i="2"/>
  <c r="H9" i="2" l="1"/>
  <c r="K9" i="2"/>
  <c r="L8" i="2" s="1"/>
  <c r="N8" i="2" s="1"/>
  <c r="G9" i="2"/>
  <c r="G12" i="2" l="1"/>
  <c r="L5" i="2"/>
  <c r="N5" i="2" s="1"/>
  <c r="N9" i="2" s="1"/>
  <c r="L6" i="2"/>
  <c r="N6" i="2" s="1"/>
  <c r="L7" i="2"/>
  <c r="N7" i="2" s="1"/>
  <c r="C15" i="2" l="1"/>
  <c r="D7" i="2" l="1"/>
  <c r="D8" i="2"/>
  <c r="D4" i="2"/>
  <c r="D6" i="2"/>
  <c r="D5" i="2"/>
  <c r="H96" i="2" l="1"/>
  <c r="H92" i="2"/>
  <c r="H84" i="2"/>
  <c r="H76" i="2"/>
  <c r="H64" i="2"/>
  <c r="H56" i="2"/>
  <c r="H48" i="2"/>
  <c r="H68" i="2"/>
  <c r="H148" i="2"/>
  <c r="H140" i="2"/>
  <c r="H132" i="2"/>
  <c r="H152" i="2"/>
  <c r="H40" i="2"/>
  <c r="H36" i="2"/>
  <c r="H28" i="2"/>
  <c r="H20" i="2"/>
  <c r="G126" i="2"/>
  <c r="H126" i="2" s="1"/>
  <c r="H112" i="2"/>
  <c r="H104" i="2"/>
  <c r="H124" i="2"/>
  <c r="H120" i="2"/>
  <c r="G139" i="2"/>
  <c r="H139" i="2" s="1"/>
  <c r="G147" i="2"/>
  <c r="H147" i="2" s="1"/>
  <c r="G155" i="2"/>
  <c r="H155" i="2" s="1"/>
  <c r="G138" i="2"/>
  <c r="H138" i="2" s="1"/>
  <c r="G146" i="2"/>
  <c r="H146" i="2" s="1"/>
  <c r="G154" i="2"/>
  <c r="H154" i="2" s="1"/>
  <c r="G137" i="2"/>
  <c r="H137" i="2" s="1"/>
  <c r="G145" i="2"/>
  <c r="H145" i="2" s="1"/>
  <c r="G153" i="2"/>
  <c r="H153" i="2" s="1"/>
  <c r="G136" i="2"/>
  <c r="H136" i="2" s="1"/>
  <c r="G144" i="2"/>
  <c r="H144" i="2" s="1"/>
  <c r="G152" i="2"/>
  <c r="G132" i="2"/>
  <c r="G135" i="2"/>
  <c r="H135" i="2" s="1"/>
  <c r="G143" i="2"/>
  <c r="H143" i="2" s="1"/>
  <c r="G151" i="2"/>
  <c r="H151" i="2" s="1"/>
  <c r="G134" i="2"/>
  <c r="H134" i="2" s="1"/>
  <c r="G142" i="2"/>
  <c r="H142" i="2" s="1"/>
  <c r="G150" i="2"/>
  <c r="H150" i="2" s="1"/>
  <c r="G158" i="2"/>
  <c r="H158" i="2" s="1"/>
  <c r="G141" i="2"/>
  <c r="H141" i="2" s="1"/>
  <c r="G157" i="2"/>
  <c r="H157" i="2" s="1"/>
  <c r="G140" i="2"/>
  <c r="G148" i="2"/>
  <c r="G159" i="2"/>
  <c r="H159" i="2" s="1"/>
  <c r="G133" i="2"/>
  <c r="H133" i="2" s="1"/>
  <c r="G149" i="2"/>
  <c r="H149" i="2" s="1"/>
  <c r="G156" i="2"/>
  <c r="H156" i="2" s="1"/>
  <c r="G109" i="2"/>
  <c r="H109" i="2" s="1"/>
  <c r="G123" i="2"/>
  <c r="H123" i="2" s="1"/>
  <c r="G120" i="2"/>
  <c r="G104" i="2"/>
  <c r="G131" i="2"/>
  <c r="H131" i="2" s="1"/>
  <c r="G117" i="2"/>
  <c r="H117" i="2" s="1"/>
  <c r="G105" i="2"/>
  <c r="H105" i="2" s="1"/>
  <c r="G106" i="2"/>
  <c r="H106" i="2" s="1"/>
  <c r="G125" i="2"/>
  <c r="H125" i="2" s="1"/>
  <c r="G111" i="2"/>
  <c r="H111" i="2" s="1"/>
  <c r="G121" i="2"/>
  <c r="H121" i="2" s="1"/>
  <c r="G114" i="2"/>
  <c r="H114" i="2" s="1"/>
  <c r="G108" i="2"/>
  <c r="H108" i="2" s="1"/>
  <c r="G119" i="2"/>
  <c r="H119" i="2" s="1"/>
  <c r="G112" i="2"/>
  <c r="G122" i="2"/>
  <c r="H122" i="2" s="1"/>
  <c r="G116" i="2"/>
  <c r="H116" i="2" s="1"/>
  <c r="G127" i="2"/>
  <c r="H127" i="2" s="1"/>
  <c r="G128" i="2"/>
  <c r="H128" i="2" s="1"/>
  <c r="G130" i="2"/>
  <c r="H130" i="2" s="1"/>
  <c r="G124" i="2"/>
  <c r="G110" i="2"/>
  <c r="H110" i="2" s="1"/>
  <c r="G113" i="2"/>
  <c r="H113" i="2" s="1"/>
  <c r="G107" i="2"/>
  <c r="H107" i="2" s="1"/>
  <c r="G118" i="2"/>
  <c r="H118" i="2" s="1"/>
  <c r="G129" i="2"/>
  <c r="H129" i="2" s="1"/>
  <c r="G115" i="2"/>
  <c r="H115" i="2" s="1"/>
  <c r="G23" i="2"/>
  <c r="H23" i="2" s="1"/>
  <c r="G31" i="2"/>
  <c r="H31" i="2" s="1"/>
  <c r="G39" i="2"/>
  <c r="H39" i="2" s="1"/>
  <c r="G47" i="2"/>
  <c r="H47" i="2" s="1"/>
  <c r="G22" i="2"/>
  <c r="H22" i="2" s="1"/>
  <c r="G30" i="2"/>
  <c r="H30" i="2" s="1"/>
  <c r="G38" i="2"/>
  <c r="H38" i="2" s="1"/>
  <c r="G46" i="2"/>
  <c r="H46" i="2" s="1"/>
  <c r="G21" i="2"/>
  <c r="H21" i="2" s="1"/>
  <c r="G29" i="2"/>
  <c r="H29" i="2" s="1"/>
  <c r="G37" i="2"/>
  <c r="H37" i="2" s="1"/>
  <c r="G45" i="2"/>
  <c r="H45" i="2" s="1"/>
  <c r="G28" i="2"/>
  <c r="G36" i="2"/>
  <c r="G44" i="2"/>
  <c r="H44" i="2" s="1"/>
  <c r="G27" i="2"/>
  <c r="H27" i="2" s="1"/>
  <c r="G35" i="2"/>
  <c r="H35" i="2" s="1"/>
  <c r="G43" i="2"/>
  <c r="H43" i="2" s="1"/>
  <c r="G26" i="2"/>
  <c r="H26" i="2" s="1"/>
  <c r="G42" i="2"/>
  <c r="H42" i="2" s="1"/>
  <c r="G25" i="2"/>
  <c r="H25" i="2" s="1"/>
  <c r="G41" i="2"/>
  <c r="H41" i="2" s="1"/>
  <c r="G32" i="2"/>
  <c r="H32" i="2" s="1"/>
  <c r="G20" i="2"/>
  <c r="G34" i="2"/>
  <c r="H34" i="2" s="1"/>
  <c r="G33" i="2"/>
  <c r="H33" i="2" s="1"/>
  <c r="G24" i="2"/>
  <c r="H24" i="2" s="1"/>
  <c r="G40" i="2"/>
  <c r="G79" i="2"/>
  <c r="H79" i="2" s="1"/>
  <c r="G87" i="2"/>
  <c r="H87" i="2" s="1"/>
  <c r="G95" i="2"/>
  <c r="H95" i="2" s="1"/>
  <c r="G103" i="2"/>
  <c r="H103" i="2" s="1"/>
  <c r="G78" i="2"/>
  <c r="H78" i="2" s="1"/>
  <c r="G86" i="2"/>
  <c r="H86" i="2" s="1"/>
  <c r="G94" i="2"/>
  <c r="H94" i="2" s="1"/>
  <c r="G102" i="2"/>
  <c r="H102" i="2" s="1"/>
  <c r="G77" i="2"/>
  <c r="H77" i="2" s="1"/>
  <c r="G85" i="2"/>
  <c r="H85" i="2" s="1"/>
  <c r="G93" i="2"/>
  <c r="H93" i="2" s="1"/>
  <c r="G101" i="2"/>
  <c r="H101" i="2" s="1"/>
  <c r="G84" i="2"/>
  <c r="G92" i="2"/>
  <c r="G100" i="2"/>
  <c r="H100" i="2" s="1"/>
  <c r="G83" i="2"/>
  <c r="H83" i="2" s="1"/>
  <c r="G91" i="2"/>
  <c r="H91" i="2" s="1"/>
  <c r="G99" i="2"/>
  <c r="H99" i="2" s="1"/>
  <c r="G82" i="2"/>
  <c r="H82" i="2" s="1"/>
  <c r="G90" i="2"/>
  <c r="H90" i="2" s="1"/>
  <c r="G98" i="2"/>
  <c r="H98" i="2" s="1"/>
  <c r="G89" i="2"/>
  <c r="H89" i="2" s="1"/>
  <c r="G80" i="2"/>
  <c r="H80" i="2" s="1"/>
  <c r="G96" i="2"/>
  <c r="G81" i="2"/>
  <c r="H81" i="2" s="1"/>
  <c r="G97" i="2"/>
  <c r="H97" i="2" s="1"/>
  <c r="G88" i="2"/>
  <c r="H88" i="2" s="1"/>
  <c r="G76" i="2"/>
  <c r="G55" i="2"/>
  <c r="H55" i="2" s="1"/>
  <c r="G63" i="2"/>
  <c r="H63" i="2" s="1"/>
  <c r="G71" i="2"/>
  <c r="H71" i="2" s="1"/>
  <c r="G54" i="2"/>
  <c r="H54" i="2" s="1"/>
  <c r="G62" i="2"/>
  <c r="H62" i="2" s="1"/>
  <c r="G70" i="2"/>
  <c r="H70" i="2" s="1"/>
  <c r="G53" i="2"/>
  <c r="H53" i="2" s="1"/>
  <c r="G61" i="2"/>
  <c r="H61" i="2" s="1"/>
  <c r="G69" i="2"/>
  <c r="H69" i="2" s="1"/>
  <c r="G52" i="2"/>
  <c r="H52" i="2" s="1"/>
  <c r="G60" i="2"/>
  <c r="H60" i="2" s="1"/>
  <c r="G68" i="2"/>
  <c r="G48" i="2"/>
  <c r="G51" i="2"/>
  <c r="H51" i="2" s="1"/>
  <c r="G59" i="2"/>
  <c r="H59" i="2" s="1"/>
  <c r="G67" i="2"/>
  <c r="H67" i="2" s="1"/>
  <c r="G75" i="2"/>
  <c r="H75" i="2" s="1"/>
  <c r="G50" i="2"/>
  <c r="H50" i="2" s="1"/>
  <c r="G58" i="2"/>
  <c r="H58" i="2" s="1"/>
  <c r="G66" i="2"/>
  <c r="H66" i="2" s="1"/>
  <c r="G74" i="2"/>
  <c r="H74" i="2" s="1"/>
  <c r="G49" i="2"/>
  <c r="H49" i="2" s="1"/>
  <c r="G65" i="2"/>
  <c r="H65" i="2" s="1"/>
  <c r="G56" i="2"/>
  <c r="G72" i="2"/>
  <c r="H72" i="2" s="1"/>
  <c r="G57" i="2"/>
  <c r="H57" i="2" s="1"/>
  <c r="G73" i="2"/>
  <c r="H73" i="2" s="1"/>
  <c r="G64" i="2"/>
</calcChain>
</file>

<file path=xl/sharedStrings.xml><?xml version="1.0" encoding="utf-8"?>
<sst xmlns="http://schemas.openxmlformats.org/spreadsheetml/2006/main" count="244" uniqueCount="41">
  <si>
    <t>Margin Error</t>
  </si>
  <si>
    <t>Sample Size Determination</t>
  </si>
  <si>
    <t>Region</t>
  </si>
  <si>
    <t># of Participants</t>
  </si>
  <si>
    <t>Percentage</t>
  </si>
  <si>
    <t>M.E. 3% and 5% C.I</t>
  </si>
  <si>
    <t>s.d.</t>
  </si>
  <si>
    <t>weight</t>
  </si>
  <si>
    <t>numer</t>
  </si>
  <si>
    <t>dem</t>
  </si>
  <si>
    <t>Central Region</t>
  </si>
  <si>
    <t>Eastern Region</t>
  </si>
  <si>
    <t>Northern Region</t>
  </si>
  <si>
    <t>Western Region</t>
  </si>
  <si>
    <t>total</t>
  </si>
  <si>
    <t>Confident Level</t>
  </si>
  <si>
    <t>AUTO</t>
  </si>
  <si>
    <t>CONSTR</t>
  </si>
  <si>
    <t>INDUST</t>
  </si>
  <si>
    <t>SERVC</t>
  </si>
  <si>
    <t>Sector</t>
  </si>
  <si>
    <t>LEG_TYPE</t>
  </si>
  <si>
    <t># of Clients</t>
  </si>
  <si>
    <t>COMP</t>
  </si>
  <si>
    <t>VOL</t>
  </si>
  <si>
    <t>Sample Size  determined by M.E. 3% and 5% C.I</t>
  </si>
  <si>
    <t>STATUS</t>
  </si>
  <si>
    <t>FRENCH_LANG</t>
  </si>
  <si>
    <t>FR</t>
  </si>
  <si>
    <t>CAN</t>
  </si>
  <si>
    <t>Outside Ontario</t>
  </si>
  <si>
    <t>N/A</t>
  </si>
  <si>
    <t>FR by sector</t>
  </si>
  <si>
    <t>UPLD_STRATUM</t>
  </si>
  <si>
    <t>N(h)*s.d.(h)</t>
  </si>
  <si>
    <t>N(h)^2*p(1-p)</t>
  </si>
  <si>
    <t>N(h)p(1-p)</t>
  </si>
  <si>
    <t>optimal allocation</t>
  </si>
  <si>
    <t>N(h)^2s.d.(h)^2</t>
  </si>
  <si>
    <t>N(h)s.d.(h)^2</t>
  </si>
  <si>
    <t>N(h)s.d.(h)/sum_h(N(h)s.d.(h)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</si>
</sst>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"/>
      <family val="2"/>
    </font>
    <font>
      <sz val="11"/>
      <color theme="1"/>
      <name val="Arial Narrow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3" xfId="0" applyFont="1" applyBorder="1" applyAlignment="1">
      <alignment vertical="top" wrapText="1"/>
    </xf>
    <xf numFmtId="9" fontId="4" fillId="0" borderId="1" xfId="0" applyNumberFormat="1" applyFont="1" applyBorder="1" applyAlignment="1">
      <alignment horizontal="left" vertical="center" wrapText="1"/>
    </xf>
    <xf numFmtId="1" fontId="4" fillId="5" borderId="1" xfId="0" applyNumberFormat="1" applyFont="1" applyFill="1" applyBorder="1" applyAlignment="1">
      <alignment horizontal="left" vertical="center" wrapText="1"/>
    </xf>
    <xf numFmtId="1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0" xfId="0" applyFont="1" applyFill="1"/>
    <xf numFmtId="0" fontId="1" fillId="0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9" fontId="1" fillId="3" borderId="1" xfId="0" applyNumberFormat="1" applyFont="1" applyFill="1" applyBorder="1" applyAlignment="1">
      <alignment horizontal="left" vertical="center"/>
    </xf>
    <xf numFmtId="9" fontId="1" fillId="3" borderId="1" xfId="0" applyNumberFormat="1" applyFont="1" applyFill="1" applyBorder="1" applyAlignment="1">
      <alignment horizontal="left"/>
    </xf>
    <xf numFmtId="9" fontId="1" fillId="0" borderId="0" xfId="0" applyNumberFormat="1" applyFont="1" applyFill="1" applyBorder="1" applyAlignment="1">
      <alignment horizontal="left"/>
    </xf>
    <xf numFmtId="1" fontId="1" fillId="4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>
      <alignment horizontal="left" vertical="center"/>
    </xf>
    <xf numFmtId="0" fontId="0" fillId="0" borderId="0" xfId="0" applyFill="1"/>
    <xf numFmtId="0" fontId="3" fillId="0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2" fillId="5" borderId="0" xfId="0" applyFont="1" applyFill="1" applyBorder="1" applyAlignment="1">
      <alignment horizontal="left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9"/>
  <sheetViews>
    <sheetView tabSelected="1" topLeftCell="C1" workbookViewId="0">
      <selection activeCell="G16" sqref="G16"/>
    </sheetView>
  </sheetViews>
  <sheetFormatPr defaultRowHeight="15" x14ac:dyDescent="0.25"/>
  <cols>
    <col min="1" max="1" width="27.85546875" customWidth="1"/>
    <col min="2" max="2" width="12.140625" customWidth="1"/>
    <col min="3" max="3" width="12" customWidth="1"/>
    <col min="4" max="4" width="11.28515625" style="23" customWidth="1"/>
    <col min="5" max="5" width="17.5703125" style="23" customWidth="1"/>
    <col min="6" max="6" width="17.28515625" customWidth="1"/>
    <col min="7" max="7" width="17.7109375" customWidth="1"/>
    <col min="8" max="8" width="12" bestFit="1" customWidth="1"/>
    <col min="11" max="11" width="12.42578125" bestFit="1" customWidth="1"/>
  </cols>
  <sheetData>
    <row r="1" spans="1:17" x14ac:dyDescent="0.25">
      <c r="D1"/>
      <c r="E1"/>
      <c r="L1" t="s">
        <v>40</v>
      </c>
    </row>
    <row r="2" spans="1:17" x14ac:dyDescent="0.25">
      <c r="A2" s="34" t="s">
        <v>1</v>
      </c>
      <c r="B2" s="34"/>
      <c r="C2" s="34"/>
      <c r="D2" s="34"/>
      <c r="E2" s="34"/>
      <c r="F2" s="1"/>
      <c r="G2" t="s">
        <v>38</v>
      </c>
      <c r="H2" t="s">
        <v>39</v>
      </c>
      <c r="L2" t="s">
        <v>37</v>
      </c>
    </row>
    <row r="3" spans="1:17" ht="33" x14ac:dyDescent="0.25">
      <c r="A3" s="2" t="s">
        <v>2</v>
      </c>
      <c r="B3" s="2" t="s">
        <v>3</v>
      </c>
      <c r="C3" s="2" t="s">
        <v>4</v>
      </c>
      <c r="D3" s="3" t="s">
        <v>5</v>
      </c>
      <c r="E3" s="3"/>
      <c r="F3" s="4"/>
      <c r="G3" s="5" t="s">
        <v>35</v>
      </c>
      <c r="H3" s="5" t="s">
        <v>36</v>
      </c>
      <c r="J3" t="s">
        <v>6</v>
      </c>
      <c r="K3" t="s">
        <v>34</v>
      </c>
      <c r="L3" t="s">
        <v>7</v>
      </c>
      <c r="N3" t="s">
        <v>8</v>
      </c>
      <c r="O3" t="s">
        <v>9</v>
      </c>
    </row>
    <row r="4" spans="1:17" ht="16.5" x14ac:dyDescent="0.25">
      <c r="A4" s="12" t="s">
        <v>10</v>
      </c>
      <c r="B4" s="12">
        <v>5292</v>
      </c>
      <c r="C4" s="7">
        <f t="shared" ref="C4:C9" si="0">B4/$B$9</f>
        <v>0.34896142433234423</v>
      </c>
      <c r="D4" s="8">
        <f>C4*N12</f>
        <v>544.65048068908538</v>
      </c>
      <c r="E4" s="8"/>
      <c r="F4" s="9"/>
      <c r="G4" s="10">
        <f>B4*B4*C4*(1-C4)</f>
        <v>6362441.6766913505</v>
      </c>
      <c r="H4" s="10">
        <f>B4*C4*(1-C4)</f>
        <v>1202.2754491102326</v>
      </c>
      <c r="J4">
        <f t="shared" ref="J4:J9" si="1">SQRT(C4*(1-C4))</f>
        <v>0.47664174036721313</v>
      </c>
      <c r="K4">
        <f>B4*J4</f>
        <v>2522.3880900232921</v>
      </c>
      <c r="L4">
        <f>K4/$K$9</f>
        <v>0.37859372717094253</v>
      </c>
      <c r="N4">
        <f>G4/L4</f>
        <v>16805459.837475285</v>
      </c>
    </row>
    <row r="5" spans="1:17" ht="16.5" x14ac:dyDescent="0.25">
      <c r="A5" s="12" t="s">
        <v>11</v>
      </c>
      <c r="B5" s="12">
        <v>2478</v>
      </c>
      <c r="C5" s="7">
        <f t="shared" si="0"/>
        <v>0.16340257171117706</v>
      </c>
      <c r="D5" s="8">
        <f>C5*N12</f>
        <v>255.03474889409554</v>
      </c>
      <c r="E5" s="8"/>
      <c r="F5" s="9"/>
      <c r="G5" s="10">
        <f>B5*B5*C5*(1-C5)</f>
        <v>839417.49544470757</v>
      </c>
      <c r="H5" s="10">
        <f>B5*C5*(1-C5)</f>
        <v>338.74798040545102</v>
      </c>
      <c r="J5">
        <f t="shared" si="1"/>
        <v>0.36973256722846404</v>
      </c>
      <c r="K5">
        <f>B5*J5</f>
        <v>916.19730159213384</v>
      </c>
      <c r="L5">
        <f t="shared" ref="L5:L8" si="2">K5/$K$9</f>
        <v>0.13751513996029177</v>
      </c>
      <c r="N5">
        <f>G5/L5</f>
        <v>6104182.388114457</v>
      </c>
    </row>
    <row r="6" spans="1:17" ht="16.5" x14ac:dyDescent="0.25">
      <c r="A6" s="12" t="s">
        <v>12</v>
      </c>
      <c r="B6" s="12">
        <v>1641</v>
      </c>
      <c r="C6" s="7">
        <f t="shared" si="0"/>
        <v>0.10820969337289812</v>
      </c>
      <c r="D6" s="8">
        <f>C6*N12</f>
        <v>168.8910504177606</v>
      </c>
      <c r="E6" s="8"/>
      <c r="F6" s="9"/>
      <c r="G6" s="10">
        <f>B6*B6*C6*(1-C6)</f>
        <v>259863.97417746039</v>
      </c>
      <c r="H6" s="10">
        <f>B6*C6*(1-C6)</f>
        <v>158.35708359382107</v>
      </c>
      <c r="J6">
        <f t="shared" si="1"/>
        <v>0.31064506375128753</v>
      </c>
      <c r="K6">
        <f>B6*J6</f>
        <v>509.76854961586287</v>
      </c>
      <c r="L6">
        <f t="shared" si="2"/>
        <v>7.6512879186569946E-2</v>
      </c>
      <c r="N6">
        <f>G6/L6</f>
        <v>3396342.9025302376</v>
      </c>
    </row>
    <row r="7" spans="1:17" ht="16.5" x14ac:dyDescent="0.25">
      <c r="A7" s="12" t="s">
        <v>13</v>
      </c>
      <c r="B7" s="12">
        <v>5591</v>
      </c>
      <c r="C7" s="7">
        <f t="shared" si="0"/>
        <v>0.36867787668974611</v>
      </c>
      <c r="D7" s="8">
        <f>C7*N12</f>
        <v>575.42343868720263</v>
      </c>
      <c r="E7" s="8"/>
      <c r="F7" s="9"/>
      <c r="G7" s="10">
        <f>B7*B7*C7*(1-C7)</f>
        <v>7275738.3173040468</v>
      </c>
      <c r="H7" s="10">
        <f>B7*C7*(1-C7)</f>
        <v>1301.3304091046409</v>
      </c>
      <c r="J7">
        <f t="shared" si="1"/>
        <v>0.48244637000322271</v>
      </c>
      <c r="K7">
        <f>B7*J7</f>
        <v>2697.3576546880181</v>
      </c>
      <c r="L7">
        <f t="shared" si="2"/>
        <v>0.40485549866039017</v>
      </c>
      <c r="N7">
        <f>G7/L7</f>
        <v>17971197.974038739</v>
      </c>
    </row>
    <row r="8" spans="1:17" ht="16.5" x14ac:dyDescent="0.25">
      <c r="A8" s="12" t="s">
        <v>30</v>
      </c>
      <c r="B8" s="12">
        <v>163</v>
      </c>
      <c r="C8" s="7">
        <f t="shared" si="0"/>
        <v>1.0748433893834487E-2</v>
      </c>
      <c r="D8" s="8">
        <f>C8*N12</f>
        <v>16.775893490612418</v>
      </c>
      <c r="E8" s="8"/>
      <c r="F8" s="9"/>
      <c r="G8" s="10">
        <f>B8*B8*C8*(1-C8)</f>
        <v>282.50565460992931</v>
      </c>
      <c r="H8" s="10">
        <f>B8*C8*(1-C8)</f>
        <v>1.7331635252142901</v>
      </c>
      <c r="J8">
        <f t="shared" si="1"/>
        <v>0.10311597869711735</v>
      </c>
      <c r="K8">
        <f>B8*J8</f>
        <v>16.807904527630129</v>
      </c>
      <c r="L8">
        <f t="shared" si="2"/>
        <v>2.5227550218055823E-3</v>
      </c>
      <c r="N8">
        <f>G8/L8</f>
        <v>111982.99167698606</v>
      </c>
      <c r="Q8">
        <f>9/3/3+1</f>
        <v>2</v>
      </c>
    </row>
    <row r="9" spans="1:17" ht="16.5" x14ac:dyDescent="0.25">
      <c r="A9" s="12" t="s">
        <v>14</v>
      </c>
      <c r="B9" s="12">
        <v>15165</v>
      </c>
      <c r="C9" s="7">
        <f t="shared" si="0"/>
        <v>1</v>
      </c>
      <c r="D9" s="8">
        <f>SUM(D4:D8)</f>
        <v>1560.7756121787565</v>
      </c>
      <c r="E9" s="8"/>
      <c r="F9" s="13"/>
      <c r="G9" s="10">
        <f>SUM(G4:G8)</f>
        <v>14737743.969272176</v>
      </c>
      <c r="H9" s="10">
        <f>SUM(H4:H8)</f>
        <v>3002.4440857393597</v>
      </c>
      <c r="J9">
        <f t="shared" si="1"/>
        <v>0</v>
      </c>
      <c r="K9">
        <f>SUM(K4:K8)</f>
        <v>6662.5195004469369</v>
      </c>
      <c r="N9">
        <f>SUM(N4:N8)</f>
        <v>44389166.093835704</v>
      </c>
    </row>
    <row r="10" spans="1:17" ht="16.5" x14ac:dyDescent="0.25">
      <c r="A10" s="5"/>
      <c r="B10" s="5"/>
      <c r="C10" s="5"/>
      <c r="D10" s="5"/>
      <c r="E10" s="13"/>
      <c r="F10" s="13"/>
      <c r="G10" s="10"/>
      <c r="H10" s="10"/>
    </row>
    <row r="11" spans="1:17" ht="16.5" x14ac:dyDescent="0.25">
      <c r="A11" s="5"/>
      <c r="B11" s="5"/>
      <c r="C11" s="5"/>
      <c r="D11" s="5"/>
      <c r="E11" s="13"/>
      <c r="F11" s="13"/>
      <c r="G11" s="10"/>
      <c r="H11" s="10"/>
    </row>
    <row r="12" spans="1:17" ht="16.5" x14ac:dyDescent="0.25">
      <c r="A12" s="5"/>
      <c r="B12" s="5"/>
      <c r="C12" s="5"/>
      <c r="D12" s="5"/>
      <c r="E12" s="13"/>
      <c r="F12" s="13"/>
      <c r="G12" s="10">
        <f>4*G9/(B9*B9*0.03*0.03/1.96/1.96+H9)</f>
        <v>1036.3930386594434</v>
      </c>
      <c r="H12" s="10"/>
      <c r="N12">
        <f>2*N9/(0.03*0.03*B9*B9/1.96/1.96+H9)</f>
        <v>1560.7756121787565</v>
      </c>
    </row>
    <row r="13" spans="1:17" x14ac:dyDescent="0.25">
      <c r="B13" s="15"/>
      <c r="C13" s="35" t="s">
        <v>15</v>
      </c>
      <c r="D13" s="35"/>
      <c r="E13" s="35"/>
      <c r="F13" s="16"/>
      <c r="G13" s="14"/>
      <c r="H13" s="5"/>
    </row>
    <row r="14" spans="1:17" x14ac:dyDescent="0.25">
      <c r="B14" s="17" t="s">
        <v>0</v>
      </c>
      <c r="C14" s="18">
        <v>0.05</v>
      </c>
      <c r="D14" s="19"/>
      <c r="E14" s="19"/>
      <c r="F14" s="20"/>
      <c r="N14">
        <f>3/1/2</f>
        <v>1.5</v>
      </c>
    </row>
    <row r="15" spans="1:17" ht="15.75" thickBot="1" x14ac:dyDescent="0.3">
      <c r="B15" s="18">
        <v>0.03</v>
      </c>
      <c r="C15" s="21">
        <f>2*N9/(0.03*0.03*B9*B9/1.96/1.96+H9)</f>
        <v>1560.7756121787565</v>
      </c>
      <c r="D15" s="21"/>
      <c r="E15" s="21"/>
      <c r="F15" s="22"/>
      <c r="N15">
        <f>3/(1/2)</f>
        <v>6</v>
      </c>
    </row>
    <row r="16" spans="1:17" x14ac:dyDescent="0.25">
      <c r="D16" s="24"/>
      <c r="E16" s="25"/>
      <c r="F16" s="6"/>
      <c r="G16" s="6"/>
      <c r="N16">
        <f>3/(1/2)</f>
        <v>6</v>
      </c>
    </row>
    <row r="17" spans="1:9" x14ac:dyDescent="0.25">
      <c r="D17" s="26"/>
      <c r="E17" s="27"/>
      <c r="F17" s="11"/>
      <c r="G17" s="11"/>
    </row>
    <row r="18" spans="1:9" x14ac:dyDescent="0.25">
      <c r="D18" s="26"/>
      <c r="E18" s="27"/>
      <c r="F18" s="11"/>
      <c r="G18" s="11"/>
      <c r="H18" s="11"/>
      <c r="I18" t="s">
        <v>33</v>
      </c>
    </row>
    <row r="19" spans="1:9" ht="49.5" x14ac:dyDescent="0.25">
      <c r="A19" s="28" t="s">
        <v>2</v>
      </c>
      <c r="B19" s="29" t="s">
        <v>20</v>
      </c>
      <c r="C19" s="29" t="s">
        <v>21</v>
      </c>
      <c r="D19" s="30" t="s">
        <v>26</v>
      </c>
      <c r="E19" s="30" t="s">
        <v>27</v>
      </c>
      <c r="F19" s="29" t="s">
        <v>22</v>
      </c>
      <c r="G19" s="3" t="s">
        <v>25</v>
      </c>
      <c r="H19" s="32" t="s">
        <v>32</v>
      </c>
    </row>
    <row r="20" spans="1:9" ht="16.5" x14ac:dyDescent="0.25">
      <c r="A20" s="36" t="s">
        <v>10</v>
      </c>
      <c r="B20" s="39" t="s">
        <v>16</v>
      </c>
      <c r="C20" s="39" t="s">
        <v>23</v>
      </c>
      <c r="D20" s="39" t="s">
        <v>23</v>
      </c>
      <c r="E20" s="30" t="s">
        <v>28</v>
      </c>
      <c r="F20" s="29">
        <v>1</v>
      </c>
      <c r="G20" s="8">
        <f>$D$4*F20/SUM($F$20:$F$47)</f>
        <v>0.10291959196694735</v>
      </c>
      <c r="H20" s="33">
        <f>$D$4*(F20+F22+F24+F26)/SUM($F$20:$F$47)</f>
        <v>0.61751755180168411</v>
      </c>
      <c r="I20">
        <v>1</v>
      </c>
    </row>
    <row r="21" spans="1:9" ht="16.5" x14ac:dyDescent="0.25">
      <c r="A21" s="37"/>
      <c r="B21" s="40"/>
      <c r="C21" s="40"/>
      <c r="D21" s="41"/>
      <c r="E21" s="30"/>
      <c r="F21" s="30">
        <v>524</v>
      </c>
      <c r="G21" s="8">
        <f t="shared" ref="G21:G47" si="3">$D$4*F21/SUM($F$20:$F$47)</f>
        <v>53.929866190680407</v>
      </c>
      <c r="H21" s="33">
        <f t="shared" ref="H21:H85" si="4">$D$4*G21/SUM($F$20:$F$47)</f>
        <v>5.5504398231768972</v>
      </c>
      <c r="I21">
        <v>59</v>
      </c>
    </row>
    <row r="22" spans="1:9" ht="16.5" x14ac:dyDescent="0.25">
      <c r="A22" s="37"/>
      <c r="B22" s="40"/>
      <c r="C22" s="40"/>
      <c r="D22" s="39" t="s">
        <v>29</v>
      </c>
      <c r="E22" s="30" t="s">
        <v>28</v>
      </c>
      <c r="F22" s="30">
        <v>5</v>
      </c>
      <c r="G22" s="8">
        <f t="shared" si="3"/>
        <v>0.51459795983473677</v>
      </c>
      <c r="H22" s="33">
        <f t="shared" si="4"/>
        <v>5.2962212053214663E-2</v>
      </c>
      <c r="I22">
        <v>2</v>
      </c>
    </row>
    <row r="23" spans="1:9" ht="16.5" x14ac:dyDescent="0.25">
      <c r="A23" s="37"/>
      <c r="B23" s="40"/>
      <c r="C23" s="41"/>
      <c r="D23" s="41"/>
      <c r="E23" s="30"/>
      <c r="F23" s="30">
        <v>479</v>
      </c>
      <c r="G23" s="8">
        <f t="shared" si="3"/>
        <v>49.298484552167778</v>
      </c>
      <c r="H23" s="33">
        <f t="shared" si="4"/>
        <v>5.0737799146979654</v>
      </c>
      <c r="I23">
        <v>60</v>
      </c>
    </row>
    <row r="24" spans="1:9" ht="16.5" x14ac:dyDescent="0.25">
      <c r="A24" s="37"/>
      <c r="B24" s="40"/>
      <c r="C24" s="39" t="s">
        <v>24</v>
      </c>
      <c r="D24" s="39" t="s">
        <v>23</v>
      </c>
      <c r="E24" s="30" t="s">
        <v>28</v>
      </c>
      <c r="F24" s="29">
        <v>0</v>
      </c>
      <c r="G24" s="8">
        <f t="shared" si="3"/>
        <v>0</v>
      </c>
      <c r="H24" s="33">
        <f t="shared" si="4"/>
        <v>0</v>
      </c>
      <c r="I24" t="s">
        <v>31</v>
      </c>
    </row>
    <row r="25" spans="1:9" ht="16.5" x14ac:dyDescent="0.25">
      <c r="A25" s="37"/>
      <c r="B25" s="40"/>
      <c r="C25" s="40"/>
      <c r="D25" s="41"/>
      <c r="E25" s="30"/>
      <c r="F25" s="30">
        <v>23</v>
      </c>
      <c r="G25" s="8">
        <f t="shared" si="3"/>
        <v>2.367150615239789</v>
      </c>
      <c r="H25" s="33">
        <f t="shared" si="4"/>
        <v>0.24362617544478748</v>
      </c>
      <c r="I25">
        <v>61</v>
      </c>
    </row>
    <row r="26" spans="1:9" ht="16.5" x14ac:dyDescent="0.25">
      <c r="A26" s="37"/>
      <c r="B26" s="40"/>
      <c r="C26" s="40"/>
      <c r="D26" s="39" t="s">
        <v>29</v>
      </c>
      <c r="E26" s="30" t="s">
        <v>28</v>
      </c>
      <c r="F26" s="30">
        <v>0</v>
      </c>
      <c r="G26" s="8">
        <f t="shared" si="3"/>
        <v>0</v>
      </c>
      <c r="H26" s="33">
        <f t="shared" si="4"/>
        <v>0</v>
      </c>
      <c r="I26" t="s">
        <v>31</v>
      </c>
    </row>
    <row r="27" spans="1:9" ht="16.5" x14ac:dyDescent="0.25">
      <c r="A27" s="37"/>
      <c r="B27" s="41"/>
      <c r="C27" s="41"/>
      <c r="D27" s="41"/>
      <c r="E27" s="30"/>
      <c r="F27" s="30">
        <v>34</v>
      </c>
      <c r="G27" s="8">
        <f t="shared" si="3"/>
        <v>3.4992661268762104</v>
      </c>
      <c r="H27" s="33">
        <f t="shared" si="4"/>
        <v>0.36014304196185981</v>
      </c>
      <c r="I27">
        <v>62</v>
      </c>
    </row>
    <row r="28" spans="1:9" ht="16.5" x14ac:dyDescent="0.25">
      <c r="A28" s="37"/>
      <c r="B28" s="39" t="s">
        <v>17</v>
      </c>
      <c r="C28" s="39" t="s">
        <v>23</v>
      </c>
      <c r="D28" s="39" t="s">
        <v>23</v>
      </c>
      <c r="E28" s="30" t="s">
        <v>28</v>
      </c>
      <c r="F28" s="29">
        <v>2</v>
      </c>
      <c r="G28" s="8">
        <f t="shared" si="3"/>
        <v>0.20583918393389469</v>
      </c>
      <c r="H28" s="33">
        <f>$D$4*(F28+F30+F32+F34)/SUM($F$20:$F$47)</f>
        <v>0.30875877590084205</v>
      </c>
      <c r="I28">
        <v>3</v>
      </c>
    </row>
    <row r="29" spans="1:9" ht="16.5" x14ac:dyDescent="0.25">
      <c r="A29" s="37"/>
      <c r="B29" s="40"/>
      <c r="C29" s="40"/>
      <c r="D29" s="41"/>
      <c r="E29" s="30"/>
      <c r="F29" s="30">
        <v>1039</v>
      </c>
      <c r="G29" s="8">
        <f t="shared" si="3"/>
        <v>106.9334560536583</v>
      </c>
      <c r="H29" s="33">
        <f t="shared" si="4"/>
        <v>11.005547664658009</v>
      </c>
      <c r="I29">
        <v>63</v>
      </c>
    </row>
    <row r="30" spans="1:9" ht="16.5" x14ac:dyDescent="0.25">
      <c r="A30" s="37"/>
      <c r="B30" s="40"/>
      <c r="C30" s="40"/>
      <c r="D30" s="39" t="s">
        <v>29</v>
      </c>
      <c r="E30" s="30" t="s">
        <v>28</v>
      </c>
      <c r="F30" s="30">
        <v>1</v>
      </c>
      <c r="G30" s="8">
        <f t="shared" si="3"/>
        <v>0.10291959196694735</v>
      </c>
      <c r="H30" s="33">
        <f t="shared" si="4"/>
        <v>1.0592442410642933E-2</v>
      </c>
      <c r="I30">
        <v>4</v>
      </c>
    </row>
    <row r="31" spans="1:9" ht="16.5" x14ac:dyDescent="0.25">
      <c r="A31" s="37"/>
      <c r="B31" s="40"/>
      <c r="C31" s="41"/>
      <c r="D31" s="41"/>
      <c r="E31" s="30"/>
      <c r="F31" s="30">
        <v>611</v>
      </c>
      <c r="G31" s="8">
        <f t="shared" si="3"/>
        <v>62.88387069180483</v>
      </c>
      <c r="H31" s="33">
        <f t="shared" si="4"/>
        <v>6.4719823129028322</v>
      </c>
      <c r="I31">
        <v>64</v>
      </c>
    </row>
    <row r="32" spans="1:9" ht="16.5" x14ac:dyDescent="0.25">
      <c r="A32" s="37"/>
      <c r="B32" s="40"/>
      <c r="C32" s="39" t="s">
        <v>24</v>
      </c>
      <c r="D32" s="39" t="s">
        <v>23</v>
      </c>
      <c r="E32" s="30" t="s">
        <v>28</v>
      </c>
      <c r="F32" s="30">
        <v>0</v>
      </c>
      <c r="G32" s="8">
        <f t="shared" si="3"/>
        <v>0</v>
      </c>
      <c r="H32" s="33">
        <f t="shared" si="4"/>
        <v>0</v>
      </c>
      <c r="I32" t="s">
        <v>31</v>
      </c>
    </row>
    <row r="33" spans="1:9" ht="16.5" x14ac:dyDescent="0.25">
      <c r="A33" s="37"/>
      <c r="B33" s="40"/>
      <c r="C33" s="40"/>
      <c r="D33" s="41"/>
      <c r="E33" s="30"/>
      <c r="F33" s="30">
        <v>395</v>
      </c>
      <c r="G33" s="8">
        <f t="shared" si="3"/>
        <v>40.653238826944204</v>
      </c>
      <c r="H33" s="33">
        <f t="shared" si="4"/>
        <v>4.184014752203959</v>
      </c>
      <c r="I33">
        <v>65</v>
      </c>
    </row>
    <row r="34" spans="1:9" ht="16.5" x14ac:dyDescent="0.25">
      <c r="A34" s="37"/>
      <c r="B34" s="40"/>
      <c r="C34" s="40"/>
      <c r="D34" s="39" t="s">
        <v>29</v>
      </c>
      <c r="E34" s="30" t="s">
        <v>28</v>
      </c>
      <c r="F34" s="30">
        <v>0</v>
      </c>
      <c r="G34" s="8">
        <f t="shared" si="3"/>
        <v>0</v>
      </c>
      <c r="H34" s="33">
        <f t="shared" si="4"/>
        <v>0</v>
      </c>
      <c r="I34" t="s">
        <v>31</v>
      </c>
    </row>
    <row r="35" spans="1:9" ht="16.5" x14ac:dyDescent="0.25">
      <c r="A35" s="37"/>
      <c r="B35" s="41"/>
      <c r="C35" s="41"/>
      <c r="D35" s="41"/>
      <c r="E35" s="30"/>
      <c r="F35" s="29">
        <v>221</v>
      </c>
      <c r="G35" s="8">
        <f t="shared" si="3"/>
        <v>22.745229824695365</v>
      </c>
      <c r="H35" s="33">
        <f t="shared" si="4"/>
        <v>2.3409297727520886</v>
      </c>
      <c r="I35">
        <v>66</v>
      </c>
    </row>
    <row r="36" spans="1:9" ht="16.5" x14ac:dyDescent="0.25">
      <c r="A36" s="37"/>
      <c r="B36" s="39" t="s">
        <v>18</v>
      </c>
      <c r="C36" s="39" t="s">
        <v>24</v>
      </c>
      <c r="D36" s="39" t="s">
        <v>23</v>
      </c>
      <c r="E36" s="30" t="s">
        <v>28</v>
      </c>
      <c r="F36" s="29">
        <v>1</v>
      </c>
      <c r="G36" s="8">
        <f t="shared" si="3"/>
        <v>0.10291959196694735</v>
      </c>
      <c r="H36" s="33">
        <f>$D$4*(F36+F38)/SUM($F$20:$F$47)</f>
        <v>0.20583918393389469</v>
      </c>
      <c r="I36">
        <v>5</v>
      </c>
    </row>
    <row r="37" spans="1:9" ht="16.5" x14ac:dyDescent="0.25">
      <c r="A37" s="37"/>
      <c r="B37" s="40"/>
      <c r="C37" s="40"/>
      <c r="D37" s="41"/>
      <c r="E37" s="30"/>
      <c r="F37" s="30">
        <v>382</v>
      </c>
      <c r="G37" s="8">
        <f t="shared" si="3"/>
        <v>39.315284131373893</v>
      </c>
      <c r="H37" s="33">
        <f t="shared" si="4"/>
        <v>4.0463130008656005</v>
      </c>
      <c r="I37">
        <v>67</v>
      </c>
    </row>
    <row r="38" spans="1:9" ht="16.5" x14ac:dyDescent="0.25">
      <c r="A38" s="37"/>
      <c r="B38" s="40"/>
      <c r="C38" s="40"/>
      <c r="D38" s="39" t="s">
        <v>29</v>
      </c>
      <c r="E38" s="30" t="s">
        <v>28</v>
      </c>
      <c r="F38" s="30">
        <v>1</v>
      </c>
      <c r="G38" s="8">
        <f t="shared" si="3"/>
        <v>0.10291959196694735</v>
      </c>
      <c r="H38" s="33">
        <f t="shared" si="4"/>
        <v>1.0592442410642933E-2</v>
      </c>
      <c r="I38">
        <v>6</v>
      </c>
    </row>
    <row r="39" spans="1:9" ht="16.5" x14ac:dyDescent="0.25">
      <c r="A39" s="37"/>
      <c r="B39" s="41"/>
      <c r="C39" s="41"/>
      <c r="D39" s="41"/>
      <c r="E39" s="30"/>
      <c r="F39" s="30">
        <v>228</v>
      </c>
      <c r="G39" s="8">
        <f t="shared" si="3"/>
        <v>23.465666968463996</v>
      </c>
      <c r="H39" s="33">
        <f t="shared" si="4"/>
        <v>2.415076869626589</v>
      </c>
      <c r="I39">
        <v>68</v>
      </c>
    </row>
    <row r="40" spans="1:9" ht="16.5" x14ac:dyDescent="0.25">
      <c r="A40" s="37"/>
      <c r="B40" s="39" t="s">
        <v>19</v>
      </c>
      <c r="C40" s="39" t="s">
        <v>23</v>
      </c>
      <c r="D40" s="39" t="s">
        <v>23</v>
      </c>
      <c r="E40" s="30" t="s">
        <v>28</v>
      </c>
      <c r="F40" s="29">
        <v>3</v>
      </c>
      <c r="G40" s="8">
        <f t="shared" si="3"/>
        <v>0.30875877590084205</v>
      </c>
      <c r="H40" s="33">
        <f>$D$4*(F40+F42+F44+F46)/SUM($F$20:$F$47)</f>
        <v>6.4839342939176827</v>
      </c>
      <c r="I40">
        <v>7</v>
      </c>
    </row>
    <row r="41" spans="1:9" ht="16.5" x14ac:dyDescent="0.25">
      <c r="A41" s="37"/>
      <c r="B41" s="40"/>
      <c r="C41" s="40"/>
      <c r="D41" s="41"/>
      <c r="E41" s="30"/>
      <c r="F41" s="30">
        <v>420</v>
      </c>
      <c r="G41" s="8">
        <f t="shared" si="3"/>
        <v>43.226228626117887</v>
      </c>
      <c r="H41" s="33">
        <f t="shared" si="4"/>
        <v>4.4488258124700328</v>
      </c>
      <c r="I41">
        <v>69</v>
      </c>
    </row>
    <row r="42" spans="1:9" ht="16.5" x14ac:dyDescent="0.25">
      <c r="A42" s="37"/>
      <c r="B42" s="40"/>
      <c r="C42" s="40"/>
      <c r="D42" s="39" t="s">
        <v>29</v>
      </c>
      <c r="E42" s="30" t="s">
        <v>28</v>
      </c>
      <c r="F42" s="30">
        <v>2</v>
      </c>
      <c r="G42" s="8">
        <f t="shared" si="3"/>
        <v>0.20583918393389469</v>
      </c>
      <c r="H42" s="33">
        <f t="shared" si="4"/>
        <v>2.1184884821285867E-2</v>
      </c>
      <c r="I42">
        <v>8</v>
      </c>
    </row>
    <row r="43" spans="1:9" ht="16.5" x14ac:dyDescent="0.25">
      <c r="A43" s="37"/>
      <c r="B43" s="40"/>
      <c r="C43" s="41"/>
      <c r="D43" s="41"/>
      <c r="E43" s="30"/>
      <c r="F43" s="30">
        <v>143</v>
      </c>
      <c r="G43" s="8">
        <f t="shared" si="3"/>
        <v>14.717501651273471</v>
      </c>
      <c r="H43" s="33">
        <f t="shared" si="4"/>
        <v>1.5147192647219396</v>
      </c>
      <c r="I43">
        <v>70</v>
      </c>
    </row>
    <row r="44" spans="1:9" ht="16.5" x14ac:dyDescent="0.25">
      <c r="A44" s="37"/>
      <c r="B44" s="40"/>
      <c r="C44" s="39" t="s">
        <v>24</v>
      </c>
      <c r="D44" s="39" t="s">
        <v>23</v>
      </c>
      <c r="E44" s="30" t="s">
        <v>28</v>
      </c>
      <c r="F44" s="30">
        <v>38</v>
      </c>
      <c r="G44" s="8">
        <f t="shared" si="3"/>
        <v>3.9109444947439997</v>
      </c>
      <c r="H44" s="33">
        <f t="shared" si="4"/>
        <v>0.40251281160443153</v>
      </c>
      <c r="I44">
        <v>9</v>
      </c>
    </row>
    <row r="45" spans="1:9" ht="16.5" x14ac:dyDescent="0.25">
      <c r="A45" s="37"/>
      <c r="B45" s="40"/>
      <c r="C45" s="40"/>
      <c r="D45" s="41"/>
      <c r="E45" s="30"/>
      <c r="F45" s="29">
        <v>296</v>
      </c>
      <c r="G45" s="8">
        <f t="shared" si="3"/>
        <v>30.464199222216415</v>
      </c>
      <c r="H45" s="33">
        <f t="shared" si="4"/>
        <v>3.1353629535503083</v>
      </c>
      <c r="I45">
        <v>71</v>
      </c>
    </row>
    <row r="46" spans="1:9" ht="16.5" x14ac:dyDescent="0.25">
      <c r="A46" s="37"/>
      <c r="B46" s="40"/>
      <c r="C46" s="40"/>
      <c r="D46" s="39" t="s">
        <v>29</v>
      </c>
      <c r="E46" s="30" t="s">
        <v>28</v>
      </c>
      <c r="F46" s="30">
        <v>20</v>
      </c>
      <c r="G46" s="8">
        <f t="shared" si="3"/>
        <v>2.0583918393389471</v>
      </c>
      <c r="H46" s="33">
        <f t="shared" si="4"/>
        <v>0.21184884821285865</v>
      </c>
      <c r="I46">
        <v>10</v>
      </c>
    </row>
    <row r="47" spans="1:9" ht="16.5" x14ac:dyDescent="0.25">
      <c r="A47" s="38"/>
      <c r="B47" s="41"/>
      <c r="C47" s="41"/>
      <c r="D47" s="41"/>
      <c r="E47" s="30"/>
      <c r="F47" s="30">
        <v>423</v>
      </c>
      <c r="G47" s="8">
        <f t="shared" si="3"/>
        <v>43.534987402018729</v>
      </c>
      <c r="H47" s="33">
        <f t="shared" si="4"/>
        <v>4.4806031397019606</v>
      </c>
      <c r="I47">
        <v>72</v>
      </c>
    </row>
    <row r="48" spans="1:9" ht="16.5" x14ac:dyDescent="0.25">
      <c r="A48" s="36" t="s">
        <v>11</v>
      </c>
      <c r="B48" s="39" t="s">
        <v>16</v>
      </c>
      <c r="C48" s="39" t="s">
        <v>23</v>
      </c>
      <c r="D48" s="39" t="s">
        <v>23</v>
      </c>
      <c r="E48" s="30" t="s">
        <v>28</v>
      </c>
      <c r="F48" s="29">
        <v>7</v>
      </c>
      <c r="G48" s="8">
        <f>$D$5*F48/SUM($F$48:$F$75)</f>
        <v>0.72043714376863144</v>
      </c>
      <c r="H48" s="33">
        <f>$D$5*(F48+F50+F52+F54)/SUM($F$48:$F$75)</f>
        <v>2.7788289831075788</v>
      </c>
      <c r="I48">
        <v>11</v>
      </c>
    </row>
    <row r="49" spans="1:9" ht="16.5" x14ac:dyDescent="0.25">
      <c r="A49" s="37"/>
      <c r="B49" s="40"/>
      <c r="C49" s="40"/>
      <c r="D49" s="41"/>
      <c r="E49" s="30"/>
      <c r="F49" s="30">
        <v>210</v>
      </c>
      <c r="G49" s="8">
        <f t="shared" ref="G49:G75" si="5">$D$5*F49/SUM($F$48:$F$75)</f>
        <v>21.613114313058944</v>
      </c>
      <c r="H49" s="33">
        <f t="shared" si="4"/>
        <v>2.2244129062350164</v>
      </c>
      <c r="I49">
        <v>73</v>
      </c>
    </row>
    <row r="50" spans="1:9" ht="16.5" x14ac:dyDescent="0.25">
      <c r="A50" s="37"/>
      <c r="B50" s="40"/>
      <c r="C50" s="40"/>
      <c r="D50" s="39" t="s">
        <v>29</v>
      </c>
      <c r="E50" s="30" t="s">
        <v>28</v>
      </c>
      <c r="F50" s="30">
        <v>17</v>
      </c>
      <c r="G50" s="8">
        <f t="shared" si="5"/>
        <v>1.749633063438105</v>
      </c>
      <c r="H50" s="33">
        <f t="shared" si="4"/>
        <v>0.18007152098092988</v>
      </c>
      <c r="I50">
        <v>12</v>
      </c>
    </row>
    <row r="51" spans="1:9" ht="16.5" x14ac:dyDescent="0.25">
      <c r="A51" s="37"/>
      <c r="B51" s="40"/>
      <c r="C51" s="41"/>
      <c r="D51" s="41"/>
      <c r="E51" s="30"/>
      <c r="F51" s="30">
        <v>225</v>
      </c>
      <c r="G51" s="8">
        <f t="shared" si="5"/>
        <v>23.156908192563154</v>
      </c>
      <c r="H51" s="33">
        <f t="shared" si="4"/>
        <v>2.3832995423946599</v>
      </c>
      <c r="I51">
        <v>74</v>
      </c>
    </row>
    <row r="52" spans="1:9" ht="16.5" x14ac:dyDescent="0.25">
      <c r="A52" s="37"/>
      <c r="B52" s="40"/>
      <c r="C52" s="39" t="s">
        <v>24</v>
      </c>
      <c r="D52" s="39" t="s">
        <v>23</v>
      </c>
      <c r="E52" s="30" t="s">
        <v>28</v>
      </c>
      <c r="F52" s="30">
        <v>2</v>
      </c>
      <c r="G52" s="8">
        <f t="shared" si="5"/>
        <v>0.20583918393389472</v>
      </c>
      <c r="H52" s="33">
        <f t="shared" si="4"/>
        <v>2.1184884821285867E-2</v>
      </c>
      <c r="I52">
        <v>13</v>
      </c>
    </row>
    <row r="53" spans="1:9" ht="16.5" x14ac:dyDescent="0.25">
      <c r="A53" s="37"/>
      <c r="B53" s="40"/>
      <c r="C53" s="40"/>
      <c r="D53" s="41"/>
      <c r="E53" s="30"/>
      <c r="F53" s="30">
        <v>24</v>
      </c>
      <c r="G53" s="8">
        <f t="shared" si="5"/>
        <v>2.4700702072067364</v>
      </c>
      <c r="H53" s="33">
        <f t="shared" si="4"/>
        <v>0.25421861785543043</v>
      </c>
      <c r="I53">
        <v>75</v>
      </c>
    </row>
    <row r="54" spans="1:9" ht="16.5" x14ac:dyDescent="0.25">
      <c r="A54" s="37"/>
      <c r="B54" s="40"/>
      <c r="C54" s="40"/>
      <c r="D54" s="39" t="s">
        <v>29</v>
      </c>
      <c r="E54" s="30" t="s">
        <v>28</v>
      </c>
      <c r="F54" s="30">
        <v>1</v>
      </c>
      <c r="G54" s="8">
        <f t="shared" si="5"/>
        <v>0.10291959196694736</v>
      </c>
      <c r="H54" s="33">
        <f t="shared" si="4"/>
        <v>1.0592442410642933E-2</v>
      </c>
      <c r="I54">
        <v>129</v>
      </c>
    </row>
    <row r="55" spans="1:9" ht="16.5" x14ac:dyDescent="0.25">
      <c r="A55" s="37"/>
      <c r="B55" s="41"/>
      <c r="C55" s="41"/>
      <c r="D55" s="41"/>
      <c r="E55" s="30"/>
      <c r="F55" s="29">
        <v>21</v>
      </c>
      <c r="G55" s="8">
        <f t="shared" si="5"/>
        <v>2.1613114313058945</v>
      </c>
      <c r="H55" s="33">
        <f t="shared" si="4"/>
        <v>0.22244129062350165</v>
      </c>
      <c r="I55">
        <v>76</v>
      </c>
    </row>
    <row r="56" spans="1:9" ht="16.5" x14ac:dyDescent="0.25">
      <c r="A56" s="37"/>
      <c r="B56" s="39" t="s">
        <v>17</v>
      </c>
      <c r="C56" s="39" t="s">
        <v>23</v>
      </c>
      <c r="D56" s="39" t="s">
        <v>23</v>
      </c>
      <c r="E56" s="30" t="s">
        <v>28</v>
      </c>
      <c r="F56" s="29">
        <v>31</v>
      </c>
      <c r="G56" s="8">
        <f t="shared" si="5"/>
        <v>3.1905073509753681</v>
      </c>
      <c r="H56" s="33">
        <f>$D$5*(F56+F58+F60+F62)/SUM($F$48:$F$75)</f>
        <v>8.7481653171905247</v>
      </c>
      <c r="I56">
        <v>14</v>
      </c>
    </row>
    <row r="57" spans="1:9" ht="16.5" x14ac:dyDescent="0.25">
      <c r="A57" s="37"/>
      <c r="B57" s="40"/>
      <c r="C57" s="40"/>
      <c r="D57" s="41"/>
      <c r="E57" s="30"/>
      <c r="F57" s="30">
        <v>382</v>
      </c>
      <c r="G57" s="8">
        <f t="shared" si="5"/>
        <v>39.315284131373886</v>
      </c>
      <c r="H57" s="33">
        <f t="shared" si="4"/>
        <v>4.0463130008656005</v>
      </c>
      <c r="I57">
        <v>77</v>
      </c>
    </row>
    <row r="58" spans="1:9" ht="16.5" x14ac:dyDescent="0.25">
      <c r="A58" s="37"/>
      <c r="B58" s="40"/>
      <c r="C58" s="40"/>
      <c r="D58" s="39" t="s">
        <v>29</v>
      </c>
      <c r="E58" s="30" t="s">
        <v>28</v>
      </c>
      <c r="F58" s="30">
        <v>36</v>
      </c>
      <c r="G58" s="8">
        <f t="shared" si="5"/>
        <v>3.7051053108101044</v>
      </c>
      <c r="H58" s="33">
        <f t="shared" si="4"/>
        <v>0.38132792678314559</v>
      </c>
      <c r="I58">
        <v>15</v>
      </c>
    </row>
    <row r="59" spans="1:9" ht="16.5" x14ac:dyDescent="0.25">
      <c r="A59" s="37"/>
      <c r="B59" s="40"/>
      <c r="C59" s="41"/>
      <c r="D59" s="41"/>
      <c r="E59" s="30"/>
      <c r="F59" s="30">
        <v>199</v>
      </c>
      <c r="G59" s="8">
        <f t="shared" si="5"/>
        <v>20.480998801422523</v>
      </c>
      <c r="H59" s="33">
        <f t="shared" si="4"/>
        <v>2.1078960397179438</v>
      </c>
      <c r="I59">
        <v>78</v>
      </c>
    </row>
    <row r="60" spans="1:9" ht="16.5" x14ac:dyDescent="0.25">
      <c r="A60" s="37"/>
      <c r="B60" s="40"/>
      <c r="C60" s="39" t="s">
        <v>24</v>
      </c>
      <c r="D60" s="39" t="s">
        <v>23</v>
      </c>
      <c r="E60" s="30" t="s">
        <v>28</v>
      </c>
      <c r="F60" s="30">
        <v>6</v>
      </c>
      <c r="G60" s="8">
        <f t="shared" si="5"/>
        <v>0.61751755180168411</v>
      </c>
      <c r="H60" s="33">
        <f t="shared" si="4"/>
        <v>6.3554654463857607E-2</v>
      </c>
      <c r="I60">
        <v>16</v>
      </c>
    </row>
    <row r="61" spans="1:9" ht="16.5" x14ac:dyDescent="0.25">
      <c r="A61" s="37"/>
      <c r="B61" s="40"/>
      <c r="C61" s="40"/>
      <c r="D61" s="41"/>
      <c r="E61" s="30"/>
      <c r="F61" s="30">
        <v>272</v>
      </c>
      <c r="G61" s="8">
        <f t="shared" si="5"/>
        <v>27.99412901500968</v>
      </c>
      <c r="H61" s="33">
        <f t="shared" si="4"/>
        <v>2.881144335694878</v>
      </c>
      <c r="I61">
        <v>79</v>
      </c>
    </row>
    <row r="62" spans="1:9" ht="16.5" x14ac:dyDescent="0.25">
      <c r="A62" s="37"/>
      <c r="B62" s="40"/>
      <c r="C62" s="40"/>
      <c r="D62" s="39" t="s">
        <v>29</v>
      </c>
      <c r="E62" s="30" t="s">
        <v>28</v>
      </c>
      <c r="F62" s="30">
        <v>12</v>
      </c>
      <c r="G62" s="8">
        <f t="shared" si="5"/>
        <v>1.2350351036033682</v>
      </c>
      <c r="H62" s="33">
        <f t="shared" si="4"/>
        <v>0.12710930892771521</v>
      </c>
      <c r="I62">
        <v>17</v>
      </c>
    </row>
    <row r="63" spans="1:9" ht="16.5" x14ac:dyDescent="0.25">
      <c r="A63" s="37"/>
      <c r="B63" s="41"/>
      <c r="C63" s="41"/>
      <c r="D63" s="41"/>
      <c r="E63" s="30"/>
      <c r="F63" s="29">
        <v>174</v>
      </c>
      <c r="G63" s="8">
        <f t="shared" si="5"/>
        <v>17.908009002248839</v>
      </c>
      <c r="H63" s="33">
        <f t="shared" si="4"/>
        <v>1.8430849794518704</v>
      </c>
      <c r="I63">
        <v>80</v>
      </c>
    </row>
    <row r="64" spans="1:9" ht="16.5" x14ac:dyDescent="0.25">
      <c r="A64" s="37"/>
      <c r="B64" s="39" t="s">
        <v>18</v>
      </c>
      <c r="C64" s="39" t="s">
        <v>24</v>
      </c>
      <c r="D64" s="39" t="s">
        <v>23</v>
      </c>
      <c r="E64" s="30" t="s">
        <v>28</v>
      </c>
      <c r="F64" s="29">
        <v>8</v>
      </c>
      <c r="G64" s="8">
        <f t="shared" si="5"/>
        <v>0.82335673573557888</v>
      </c>
      <c r="H64" s="33">
        <f>$D$5*(F64+F66)/SUM($F$48:$F$75)</f>
        <v>1.5437938795042103</v>
      </c>
      <c r="I64">
        <v>18</v>
      </c>
    </row>
    <row r="65" spans="1:9" ht="16.5" x14ac:dyDescent="0.25">
      <c r="A65" s="37"/>
      <c r="B65" s="40"/>
      <c r="C65" s="40"/>
      <c r="D65" s="41"/>
      <c r="E65" s="30"/>
      <c r="F65" s="30">
        <v>126</v>
      </c>
      <c r="G65" s="8">
        <f t="shared" si="5"/>
        <v>12.967868587835367</v>
      </c>
      <c r="H65" s="33">
        <f t="shared" si="4"/>
        <v>1.3346477437410098</v>
      </c>
      <c r="I65">
        <v>81</v>
      </c>
    </row>
    <row r="66" spans="1:9" ht="16.5" x14ac:dyDescent="0.25">
      <c r="A66" s="37"/>
      <c r="B66" s="40"/>
      <c r="C66" s="40"/>
      <c r="D66" s="39" t="s">
        <v>29</v>
      </c>
      <c r="E66" s="30" t="s">
        <v>28</v>
      </c>
      <c r="F66" s="30">
        <v>7</v>
      </c>
      <c r="G66" s="8">
        <f t="shared" si="5"/>
        <v>0.72043714376863144</v>
      </c>
      <c r="H66" s="33">
        <f t="shared" si="4"/>
        <v>7.4147096874500537E-2</v>
      </c>
      <c r="I66">
        <v>19</v>
      </c>
    </row>
    <row r="67" spans="1:9" ht="16.5" x14ac:dyDescent="0.25">
      <c r="A67" s="37"/>
      <c r="B67" s="41"/>
      <c r="C67" s="41"/>
      <c r="D67" s="41"/>
      <c r="E67" s="30"/>
      <c r="F67" s="30">
        <v>176</v>
      </c>
      <c r="G67" s="8">
        <f t="shared" si="5"/>
        <v>18.113848186182736</v>
      </c>
      <c r="H67" s="33">
        <f t="shared" si="4"/>
        <v>1.8642698642731568</v>
      </c>
      <c r="I67">
        <v>82</v>
      </c>
    </row>
    <row r="68" spans="1:9" ht="16.5" x14ac:dyDescent="0.25">
      <c r="A68" s="37"/>
      <c r="B68" s="39" t="s">
        <v>19</v>
      </c>
      <c r="C68" s="39" t="s">
        <v>23</v>
      </c>
      <c r="D68" s="39" t="s">
        <v>23</v>
      </c>
      <c r="E68" s="30" t="s">
        <v>28</v>
      </c>
      <c r="F68" s="29">
        <v>7</v>
      </c>
      <c r="G68" s="8">
        <f t="shared" si="5"/>
        <v>0.72043714376863144</v>
      </c>
      <c r="H68" s="33">
        <f>$D$5*(F68+F70+F72+F74)/SUM($F$48:$F$75)</f>
        <v>8.3364869493227367</v>
      </c>
      <c r="I68">
        <v>20</v>
      </c>
    </row>
    <row r="69" spans="1:9" ht="16.5" x14ac:dyDescent="0.25">
      <c r="A69" s="37"/>
      <c r="B69" s="40"/>
      <c r="C69" s="40"/>
      <c r="D69" s="41"/>
      <c r="E69" s="30"/>
      <c r="F69" s="30">
        <v>152</v>
      </c>
      <c r="G69" s="8">
        <f t="shared" si="5"/>
        <v>15.643777978975999</v>
      </c>
      <c r="H69" s="33">
        <f t="shared" si="4"/>
        <v>1.6100512464177261</v>
      </c>
      <c r="I69">
        <v>83</v>
      </c>
    </row>
    <row r="70" spans="1:9" ht="16.5" x14ac:dyDescent="0.25">
      <c r="A70" s="37"/>
      <c r="B70" s="40"/>
      <c r="C70" s="40"/>
      <c r="D70" s="39" t="s">
        <v>29</v>
      </c>
      <c r="E70" s="30" t="s">
        <v>28</v>
      </c>
      <c r="F70" s="30">
        <v>5</v>
      </c>
      <c r="G70" s="8">
        <f t="shared" si="5"/>
        <v>0.51459795983473677</v>
      </c>
      <c r="H70" s="33">
        <f t="shared" si="4"/>
        <v>5.2962212053214663E-2</v>
      </c>
      <c r="I70">
        <v>21</v>
      </c>
    </row>
    <row r="71" spans="1:9" ht="16.5" x14ac:dyDescent="0.25">
      <c r="A71" s="37"/>
      <c r="B71" s="40"/>
      <c r="C71" s="41"/>
      <c r="D71" s="41"/>
      <c r="E71" s="30"/>
      <c r="F71" s="30">
        <v>60</v>
      </c>
      <c r="G71" s="8">
        <f t="shared" si="5"/>
        <v>6.1751755180168413</v>
      </c>
      <c r="H71" s="33">
        <f t="shared" si="4"/>
        <v>0.63554654463857607</v>
      </c>
      <c r="I71">
        <v>84</v>
      </c>
    </row>
    <row r="72" spans="1:9" ht="16.5" x14ac:dyDescent="0.25">
      <c r="A72" s="37"/>
      <c r="B72" s="40"/>
      <c r="C72" s="39" t="s">
        <v>24</v>
      </c>
      <c r="D72" s="39" t="s">
        <v>23</v>
      </c>
      <c r="E72" s="30" t="s">
        <v>28</v>
      </c>
      <c r="F72" s="30">
        <v>24</v>
      </c>
      <c r="G72" s="8">
        <f t="shared" si="5"/>
        <v>2.4700702072067364</v>
      </c>
      <c r="H72" s="33">
        <f t="shared" si="4"/>
        <v>0.25421861785543043</v>
      </c>
      <c r="I72">
        <v>22</v>
      </c>
    </row>
    <row r="73" spans="1:9" ht="16.5" x14ac:dyDescent="0.25">
      <c r="A73" s="37"/>
      <c r="B73" s="40"/>
      <c r="C73" s="40"/>
      <c r="D73" s="41"/>
      <c r="E73" s="30"/>
      <c r="F73" s="30">
        <v>70</v>
      </c>
      <c r="G73" s="8">
        <f t="shared" si="5"/>
        <v>7.2043714376863148</v>
      </c>
      <c r="H73" s="33">
        <f t="shared" si="4"/>
        <v>0.7414709687450054</v>
      </c>
      <c r="I73">
        <v>85</v>
      </c>
    </row>
    <row r="74" spans="1:9" ht="16.5" x14ac:dyDescent="0.25">
      <c r="A74" s="37"/>
      <c r="B74" s="40"/>
      <c r="C74" s="40"/>
      <c r="D74" s="39" t="s">
        <v>29</v>
      </c>
      <c r="E74" s="30" t="s">
        <v>28</v>
      </c>
      <c r="F74" s="30">
        <v>45</v>
      </c>
      <c r="G74" s="8">
        <f t="shared" si="5"/>
        <v>4.6313816385126305</v>
      </c>
      <c r="H74" s="33">
        <f t="shared" si="4"/>
        <v>0.47665990847893197</v>
      </c>
      <c r="I74">
        <v>23</v>
      </c>
    </row>
    <row r="75" spans="1:9" ht="16.5" x14ac:dyDescent="0.25">
      <c r="A75" s="38"/>
      <c r="B75" s="41"/>
      <c r="C75" s="41"/>
      <c r="D75" s="41"/>
      <c r="E75" s="30"/>
      <c r="F75" s="29">
        <v>179</v>
      </c>
      <c r="G75" s="8">
        <f t="shared" si="5"/>
        <v>18.422606962083574</v>
      </c>
      <c r="H75" s="33">
        <f t="shared" si="4"/>
        <v>1.8960471915050849</v>
      </c>
      <c r="I75">
        <v>86</v>
      </c>
    </row>
    <row r="76" spans="1:9" ht="16.5" x14ac:dyDescent="0.25">
      <c r="A76" s="36" t="s">
        <v>12</v>
      </c>
      <c r="B76" s="39" t="s">
        <v>16</v>
      </c>
      <c r="C76" s="39" t="s">
        <v>23</v>
      </c>
      <c r="D76" s="39" t="s">
        <v>23</v>
      </c>
      <c r="E76" s="30" t="s">
        <v>28</v>
      </c>
      <c r="F76" s="29">
        <v>14</v>
      </c>
      <c r="G76" s="8">
        <f>$D$6*F76/SUM($F$76:$F$103)</f>
        <v>1.4408742875372629</v>
      </c>
      <c r="H76" s="33">
        <f>$D$6*(F76+F78+F80+F82)/SUM($F$76:$F$103)</f>
        <v>5.7634971501490515</v>
      </c>
      <c r="I76">
        <v>24</v>
      </c>
    </row>
    <row r="77" spans="1:9" ht="16.5" x14ac:dyDescent="0.25">
      <c r="A77" s="37"/>
      <c r="B77" s="40"/>
      <c r="C77" s="40"/>
      <c r="D77" s="41"/>
      <c r="E77" s="30"/>
      <c r="F77" s="30">
        <v>119</v>
      </c>
      <c r="G77" s="8">
        <f t="shared" ref="G77:G103" si="6">$D$6*F77/SUM($F$76:$F$103)</f>
        <v>12.247431444066736</v>
      </c>
      <c r="H77" s="33">
        <f t="shared" si="4"/>
        <v>1.2605006468665092</v>
      </c>
      <c r="I77">
        <v>87</v>
      </c>
    </row>
    <row r="78" spans="1:9" ht="16.5" x14ac:dyDescent="0.25">
      <c r="A78" s="37"/>
      <c r="B78" s="40"/>
      <c r="C78" s="40"/>
      <c r="D78" s="39" t="s">
        <v>29</v>
      </c>
      <c r="E78" s="30" t="s">
        <v>28</v>
      </c>
      <c r="F78" s="30">
        <v>14</v>
      </c>
      <c r="G78" s="8">
        <f t="shared" si="6"/>
        <v>1.4408742875372629</v>
      </c>
      <c r="H78" s="33">
        <f t="shared" si="4"/>
        <v>0.14829419374900107</v>
      </c>
      <c r="I78">
        <v>25</v>
      </c>
    </row>
    <row r="79" spans="1:9" ht="16.5" x14ac:dyDescent="0.25">
      <c r="A79" s="37"/>
      <c r="B79" s="40"/>
      <c r="C79" s="41"/>
      <c r="D79" s="41"/>
      <c r="E79" s="30"/>
      <c r="F79" s="30">
        <v>155</v>
      </c>
      <c r="G79" s="8">
        <f t="shared" si="6"/>
        <v>15.952536754876837</v>
      </c>
      <c r="H79" s="33">
        <f t="shared" si="4"/>
        <v>1.6418285736496545</v>
      </c>
      <c r="I79">
        <v>88</v>
      </c>
    </row>
    <row r="80" spans="1:9" ht="16.5" x14ac:dyDescent="0.25">
      <c r="A80" s="37"/>
      <c r="B80" s="40"/>
      <c r="C80" s="39" t="s">
        <v>24</v>
      </c>
      <c r="D80" s="39" t="s">
        <v>23</v>
      </c>
      <c r="E80" s="30" t="s">
        <v>28</v>
      </c>
      <c r="F80" s="30">
        <v>9</v>
      </c>
      <c r="G80" s="8">
        <f t="shared" si="6"/>
        <v>0.9262763277025261</v>
      </c>
      <c r="H80" s="33">
        <f t="shared" si="4"/>
        <v>9.5331981695786397E-2</v>
      </c>
      <c r="I80">
        <v>26</v>
      </c>
    </row>
    <row r="81" spans="1:9" ht="16.5" x14ac:dyDescent="0.25">
      <c r="A81" s="37"/>
      <c r="B81" s="40"/>
      <c r="C81" s="40"/>
      <c r="D81" s="41"/>
      <c r="E81" s="30"/>
      <c r="F81" s="30">
        <v>32</v>
      </c>
      <c r="G81" s="8">
        <f t="shared" si="6"/>
        <v>3.2934269429423151</v>
      </c>
      <c r="H81" s="33">
        <f t="shared" si="4"/>
        <v>0.33895815714057387</v>
      </c>
      <c r="I81">
        <v>89</v>
      </c>
    </row>
    <row r="82" spans="1:9" ht="16.5" x14ac:dyDescent="0.25">
      <c r="A82" s="37"/>
      <c r="B82" s="40"/>
      <c r="C82" s="40"/>
      <c r="D82" s="39" t="s">
        <v>29</v>
      </c>
      <c r="E82" s="30" t="s">
        <v>28</v>
      </c>
      <c r="F82" s="30">
        <v>19</v>
      </c>
      <c r="G82" s="8">
        <f t="shared" si="6"/>
        <v>1.9554722473719997</v>
      </c>
      <c r="H82" s="33">
        <f t="shared" si="4"/>
        <v>0.20125640580221571</v>
      </c>
      <c r="I82">
        <v>27</v>
      </c>
    </row>
    <row r="83" spans="1:9" ht="16.5" x14ac:dyDescent="0.25">
      <c r="A83" s="37"/>
      <c r="B83" s="41"/>
      <c r="C83" s="41"/>
      <c r="D83" s="41"/>
      <c r="E83" s="30"/>
      <c r="F83" s="29">
        <v>68</v>
      </c>
      <c r="G83" s="8">
        <f t="shared" si="6"/>
        <v>6.9985322537524199</v>
      </c>
      <c r="H83" s="33">
        <f t="shared" si="4"/>
        <v>0.72028608392371951</v>
      </c>
      <c r="I83">
        <v>90</v>
      </c>
    </row>
    <row r="84" spans="1:9" ht="16.5" x14ac:dyDescent="0.25">
      <c r="A84" s="37"/>
      <c r="B84" s="39" t="s">
        <v>17</v>
      </c>
      <c r="C84" s="39" t="s">
        <v>23</v>
      </c>
      <c r="D84" s="39" t="s">
        <v>23</v>
      </c>
      <c r="E84" s="30" t="s">
        <v>28</v>
      </c>
      <c r="F84" s="29">
        <v>18</v>
      </c>
      <c r="G84" s="8">
        <f t="shared" si="6"/>
        <v>1.8525526554050522</v>
      </c>
      <c r="H84" s="33">
        <f>$D$6*(F84+F86+F88+F90)/SUM($F$76:$F$103)</f>
        <v>5.1459795983473677</v>
      </c>
      <c r="I84">
        <v>28</v>
      </c>
    </row>
    <row r="85" spans="1:9" ht="16.5" x14ac:dyDescent="0.25">
      <c r="A85" s="37"/>
      <c r="B85" s="40"/>
      <c r="C85" s="40"/>
      <c r="D85" s="41"/>
      <c r="E85" s="30"/>
      <c r="F85" s="30">
        <v>146</v>
      </c>
      <c r="G85" s="8">
        <f t="shared" si="6"/>
        <v>15.026260427174313</v>
      </c>
      <c r="H85" s="33">
        <f t="shared" si="4"/>
        <v>1.5464965919538682</v>
      </c>
      <c r="I85">
        <v>91</v>
      </c>
    </row>
    <row r="86" spans="1:9" ht="16.5" x14ac:dyDescent="0.25">
      <c r="A86" s="37"/>
      <c r="B86" s="40"/>
      <c r="C86" s="40"/>
      <c r="D86" s="39" t="s">
        <v>29</v>
      </c>
      <c r="E86" s="30" t="s">
        <v>28</v>
      </c>
      <c r="F86" s="30">
        <v>22</v>
      </c>
      <c r="G86" s="8">
        <f t="shared" si="6"/>
        <v>2.2642310232728415</v>
      </c>
      <c r="H86" s="33">
        <f t="shared" ref="H86:H91" si="7">$D$4*G86/SUM($F$20:$F$47)</f>
        <v>0.23303373303414454</v>
      </c>
      <c r="I86">
        <v>29</v>
      </c>
    </row>
    <row r="87" spans="1:9" ht="16.5" x14ac:dyDescent="0.25">
      <c r="A87" s="37"/>
      <c r="B87" s="40"/>
      <c r="C87" s="41"/>
      <c r="D87" s="41"/>
      <c r="E87" s="30"/>
      <c r="F87" s="30">
        <v>123</v>
      </c>
      <c r="G87" s="8">
        <f t="shared" si="6"/>
        <v>12.659109811934524</v>
      </c>
      <c r="H87" s="33">
        <f t="shared" si="7"/>
        <v>1.3028704165090808</v>
      </c>
      <c r="I87">
        <v>92</v>
      </c>
    </row>
    <row r="88" spans="1:9" ht="16.5" x14ac:dyDescent="0.25">
      <c r="A88" s="37"/>
      <c r="B88" s="40"/>
      <c r="C88" s="39" t="s">
        <v>24</v>
      </c>
      <c r="D88" s="39" t="s">
        <v>23</v>
      </c>
      <c r="E88" s="30" t="s">
        <v>28</v>
      </c>
      <c r="F88" s="30">
        <v>1</v>
      </c>
      <c r="G88" s="8">
        <f t="shared" si="6"/>
        <v>0.10291959196694735</v>
      </c>
      <c r="H88" s="33">
        <f t="shared" si="7"/>
        <v>1.0592442410642933E-2</v>
      </c>
      <c r="I88">
        <v>30</v>
      </c>
    </row>
    <row r="89" spans="1:9" ht="16.5" x14ac:dyDescent="0.25">
      <c r="A89" s="37"/>
      <c r="B89" s="40"/>
      <c r="C89" s="40"/>
      <c r="D89" s="41"/>
      <c r="E89" s="30"/>
      <c r="F89" s="30">
        <v>140</v>
      </c>
      <c r="G89" s="8">
        <f t="shared" si="6"/>
        <v>14.408742875372628</v>
      </c>
      <c r="H89" s="33">
        <f t="shared" si="7"/>
        <v>1.4829419374900106</v>
      </c>
      <c r="I89">
        <v>93</v>
      </c>
    </row>
    <row r="90" spans="1:9" ht="16.5" x14ac:dyDescent="0.25">
      <c r="A90" s="37"/>
      <c r="B90" s="40"/>
      <c r="C90" s="40"/>
      <c r="D90" s="39" t="s">
        <v>29</v>
      </c>
      <c r="E90" s="30" t="s">
        <v>28</v>
      </c>
      <c r="F90" s="30">
        <v>9</v>
      </c>
      <c r="G90" s="8">
        <f t="shared" si="6"/>
        <v>0.9262763277025261</v>
      </c>
      <c r="H90" s="33">
        <f t="shared" si="7"/>
        <v>9.5331981695786397E-2</v>
      </c>
      <c r="I90">
        <v>31</v>
      </c>
    </row>
    <row r="91" spans="1:9" ht="16.5" x14ac:dyDescent="0.25">
      <c r="A91" s="37"/>
      <c r="B91" s="41"/>
      <c r="C91" s="41"/>
      <c r="D91" s="41"/>
      <c r="E91" s="30"/>
      <c r="F91" s="29">
        <v>181</v>
      </c>
      <c r="G91" s="8">
        <f t="shared" si="6"/>
        <v>18.62844614601747</v>
      </c>
      <c r="H91" s="33">
        <f t="shared" si="7"/>
        <v>1.9172320763263713</v>
      </c>
      <c r="I91">
        <v>94</v>
      </c>
    </row>
    <row r="92" spans="1:9" ht="16.5" x14ac:dyDescent="0.25">
      <c r="A92" s="37"/>
      <c r="B92" s="39" t="s">
        <v>18</v>
      </c>
      <c r="C92" s="39" t="s">
        <v>24</v>
      </c>
      <c r="D92" s="39" t="s">
        <v>23</v>
      </c>
      <c r="E92" s="30" t="s">
        <v>28</v>
      </c>
      <c r="F92" s="29">
        <v>13</v>
      </c>
      <c r="G92" s="8">
        <f t="shared" si="6"/>
        <v>1.3379546955703154</v>
      </c>
      <c r="H92" s="33">
        <f>$D$6*(F92+F94)/SUM($F$76:$F$103)</f>
        <v>4.3226228626117882</v>
      </c>
      <c r="I92">
        <v>32</v>
      </c>
    </row>
    <row r="93" spans="1:9" ht="16.5" x14ac:dyDescent="0.25">
      <c r="A93" s="37"/>
      <c r="B93" s="40"/>
      <c r="C93" s="40"/>
      <c r="D93" s="41"/>
      <c r="E93" s="30"/>
      <c r="F93" s="30">
        <v>109</v>
      </c>
      <c r="G93" s="8">
        <f t="shared" si="6"/>
        <v>11.21823552439726</v>
      </c>
      <c r="H93" s="33">
        <f t="shared" ref="H93:H95" si="8">$D$4*G93/SUM($F$20:$F$47)</f>
        <v>1.1545762227600798</v>
      </c>
      <c r="I93">
        <v>95</v>
      </c>
    </row>
    <row r="94" spans="1:9" ht="16.5" x14ac:dyDescent="0.25">
      <c r="A94" s="37"/>
      <c r="B94" s="40"/>
      <c r="C94" s="40"/>
      <c r="D94" s="39" t="s">
        <v>29</v>
      </c>
      <c r="E94" s="30" t="s">
        <v>28</v>
      </c>
      <c r="F94" s="30">
        <v>29</v>
      </c>
      <c r="G94" s="8">
        <f t="shared" si="6"/>
        <v>2.9846681670414732</v>
      </c>
      <c r="H94" s="33">
        <f t="shared" si="8"/>
        <v>0.30718082990864509</v>
      </c>
      <c r="I94">
        <v>33</v>
      </c>
    </row>
    <row r="95" spans="1:9" ht="16.5" x14ac:dyDescent="0.25">
      <c r="A95" s="37"/>
      <c r="B95" s="41"/>
      <c r="C95" s="41"/>
      <c r="D95" s="41"/>
      <c r="E95" s="30"/>
      <c r="F95" s="30">
        <v>137</v>
      </c>
      <c r="G95" s="8">
        <f t="shared" si="6"/>
        <v>14.099984099471785</v>
      </c>
      <c r="H95" s="33">
        <f t="shared" si="8"/>
        <v>1.4511646102580817</v>
      </c>
      <c r="I95">
        <v>96</v>
      </c>
    </row>
    <row r="96" spans="1:9" ht="16.5" x14ac:dyDescent="0.25">
      <c r="A96" s="37"/>
      <c r="B96" s="39" t="s">
        <v>19</v>
      </c>
      <c r="C96" s="39" t="s">
        <v>23</v>
      </c>
      <c r="D96" s="39" t="s">
        <v>23</v>
      </c>
      <c r="E96" s="30" t="s">
        <v>28</v>
      </c>
      <c r="F96" s="29">
        <v>7</v>
      </c>
      <c r="G96" s="8">
        <f t="shared" si="6"/>
        <v>0.72043714376863144</v>
      </c>
      <c r="H96" s="33">
        <f>$D$6*(F96+F98+F100+F102)/SUM($F$76:$F$103)</f>
        <v>5.8664167421159981</v>
      </c>
      <c r="I96">
        <v>34</v>
      </c>
    </row>
    <row r="97" spans="1:9" ht="16.5" x14ac:dyDescent="0.25">
      <c r="A97" s="37"/>
      <c r="B97" s="40"/>
      <c r="C97" s="40"/>
      <c r="D97" s="41"/>
      <c r="E97" s="30"/>
      <c r="F97" s="30">
        <v>62</v>
      </c>
      <c r="G97" s="8">
        <f t="shared" si="6"/>
        <v>6.3810147019507362</v>
      </c>
      <c r="H97" s="33">
        <f t="shared" ref="H97:H119" si="9">$D$4*G97/SUM($F$20:$F$47)</f>
        <v>0.65673142945986196</v>
      </c>
      <c r="I97">
        <v>97</v>
      </c>
    </row>
    <row r="98" spans="1:9" ht="16.5" x14ac:dyDescent="0.25">
      <c r="A98" s="37"/>
      <c r="B98" s="40"/>
      <c r="C98" s="40"/>
      <c r="D98" s="39" t="s">
        <v>29</v>
      </c>
      <c r="E98" s="30" t="s">
        <v>28</v>
      </c>
      <c r="F98" s="30">
        <v>6</v>
      </c>
      <c r="G98" s="8">
        <f t="shared" si="6"/>
        <v>0.61751755180168411</v>
      </c>
      <c r="H98" s="33">
        <f t="shared" si="9"/>
        <v>6.3554654463857607E-2</v>
      </c>
      <c r="I98">
        <v>35</v>
      </c>
    </row>
    <row r="99" spans="1:9" ht="16.5" x14ac:dyDescent="0.25">
      <c r="A99" s="37"/>
      <c r="B99" s="40"/>
      <c r="C99" s="41"/>
      <c r="D99" s="41"/>
      <c r="E99" s="30"/>
      <c r="F99" s="30">
        <v>32</v>
      </c>
      <c r="G99" s="8">
        <f t="shared" si="6"/>
        <v>3.2934269429423151</v>
      </c>
      <c r="H99" s="33">
        <f t="shared" si="9"/>
        <v>0.33895815714057387</v>
      </c>
      <c r="I99">
        <v>98</v>
      </c>
    </row>
    <row r="100" spans="1:9" ht="16.5" x14ac:dyDescent="0.25">
      <c r="A100" s="37"/>
      <c r="B100" s="40"/>
      <c r="C100" s="39" t="s">
        <v>24</v>
      </c>
      <c r="D100" s="39" t="s">
        <v>23</v>
      </c>
      <c r="E100" s="30" t="s">
        <v>28</v>
      </c>
      <c r="F100" s="30">
        <v>15</v>
      </c>
      <c r="G100" s="8">
        <f t="shared" si="6"/>
        <v>1.5437938795042101</v>
      </c>
      <c r="H100" s="33">
        <f t="shared" si="9"/>
        <v>0.15888663615964399</v>
      </c>
      <c r="I100">
        <v>36</v>
      </c>
    </row>
    <row r="101" spans="1:9" ht="16.5" x14ac:dyDescent="0.25">
      <c r="A101" s="37"/>
      <c r="B101" s="40"/>
      <c r="C101" s="40"/>
      <c r="D101" s="41"/>
      <c r="E101" s="30"/>
      <c r="F101" s="30">
        <v>36</v>
      </c>
      <c r="G101" s="8">
        <f t="shared" si="6"/>
        <v>3.7051053108101044</v>
      </c>
      <c r="H101" s="33">
        <f t="shared" si="9"/>
        <v>0.38132792678314559</v>
      </c>
      <c r="I101">
        <v>99</v>
      </c>
    </row>
    <row r="102" spans="1:9" ht="16.5" x14ac:dyDescent="0.25">
      <c r="A102" s="37"/>
      <c r="B102" s="40"/>
      <c r="C102" s="40"/>
      <c r="D102" s="39" t="s">
        <v>29</v>
      </c>
      <c r="E102" s="30" t="s">
        <v>28</v>
      </c>
      <c r="F102" s="30">
        <v>29</v>
      </c>
      <c r="G102" s="8">
        <f t="shared" si="6"/>
        <v>2.9846681670414732</v>
      </c>
      <c r="H102" s="33">
        <f t="shared" si="9"/>
        <v>0.30718082990864509</v>
      </c>
      <c r="I102">
        <v>37</v>
      </c>
    </row>
    <row r="103" spans="1:9" ht="16.5" x14ac:dyDescent="0.25">
      <c r="A103" s="38"/>
      <c r="B103" s="41"/>
      <c r="C103" s="41"/>
      <c r="D103" s="41"/>
      <c r="E103" s="30"/>
      <c r="F103" s="29">
        <v>96</v>
      </c>
      <c r="G103" s="8">
        <f t="shared" si="6"/>
        <v>9.8802808288269457</v>
      </c>
      <c r="H103" s="33">
        <f t="shared" si="9"/>
        <v>1.0168744714217217</v>
      </c>
      <c r="I103">
        <v>100</v>
      </c>
    </row>
    <row r="104" spans="1:9" ht="16.5" x14ac:dyDescent="0.25">
      <c r="A104" s="36" t="s">
        <v>13</v>
      </c>
      <c r="B104" s="39" t="s">
        <v>16</v>
      </c>
      <c r="C104" s="39" t="s">
        <v>23</v>
      </c>
      <c r="D104" s="39" t="s">
        <v>23</v>
      </c>
      <c r="E104" s="30" t="s">
        <v>28</v>
      </c>
      <c r="F104" s="29">
        <v>0</v>
      </c>
      <c r="G104" s="8">
        <f>$D$7*F104/SUM($F$104:$F$131)</f>
        <v>0</v>
      </c>
      <c r="H104" s="33">
        <f>$D$7*(F104+F106+F108+F110)/SUM($F$104:$F$131)</f>
        <v>0.51459795983473677</v>
      </c>
      <c r="I104" t="s">
        <v>31</v>
      </c>
    </row>
    <row r="105" spans="1:9" ht="16.5" x14ac:dyDescent="0.25">
      <c r="A105" s="37"/>
      <c r="B105" s="40"/>
      <c r="C105" s="40"/>
      <c r="D105" s="41"/>
      <c r="E105" s="30"/>
      <c r="F105" s="30">
        <v>465</v>
      </c>
      <c r="G105" s="8">
        <f t="shared" ref="G105:G131" si="10">$D$7*F105/SUM($F$104:$F$131)</f>
        <v>47.857610264630516</v>
      </c>
      <c r="H105" s="33">
        <f t="shared" si="9"/>
        <v>4.9254857209489638</v>
      </c>
      <c r="I105">
        <v>101</v>
      </c>
    </row>
    <row r="106" spans="1:9" ht="16.5" x14ac:dyDescent="0.25">
      <c r="A106" s="37"/>
      <c r="B106" s="40"/>
      <c r="C106" s="40"/>
      <c r="D106" s="39" t="s">
        <v>29</v>
      </c>
      <c r="E106" s="30" t="s">
        <v>28</v>
      </c>
      <c r="F106" s="30">
        <v>3</v>
      </c>
      <c r="G106" s="8">
        <f t="shared" si="10"/>
        <v>0.30875877590084205</v>
      </c>
      <c r="H106" s="33">
        <f t="shared" si="9"/>
        <v>3.1777327231928804E-2</v>
      </c>
      <c r="I106">
        <v>38</v>
      </c>
    </row>
    <row r="107" spans="1:9" ht="16.5" x14ac:dyDescent="0.25">
      <c r="A107" s="37"/>
      <c r="B107" s="40"/>
      <c r="C107" s="41"/>
      <c r="D107" s="41"/>
      <c r="E107" s="30"/>
      <c r="F107" s="30">
        <v>453</v>
      </c>
      <c r="G107" s="8">
        <f t="shared" si="10"/>
        <v>46.62257516102715</v>
      </c>
      <c r="H107" s="33">
        <f t="shared" si="9"/>
        <v>4.7983764120212493</v>
      </c>
      <c r="I107">
        <v>102</v>
      </c>
    </row>
    <row r="108" spans="1:9" ht="16.5" x14ac:dyDescent="0.25">
      <c r="A108" s="37"/>
      <c r="B108" s="40"/>
      <c r="C108" s="39" t="s">
        <v>24</v>
      </c>
      <c r="D108" s="39" t="s">
        <v>23</v>
      </c>
      <c r="E108" s="30" t="s">
        <v>28</v>
      </c>
      <c r="F108" s="30">
        <v>0</v>
      </c>
      <c r="G108" s="8">
        <f t="shared" si="10"/>
        <v>0</v>
      </c>
      <c r="H108" s="33">
        <f t="shared" si="9"/>
        <v>0</v>
      </c>
      <c r="I108" t="s">
        <v>31</v>
      </c>
    </row>
    <row r="109" spans="1:9" ht="16.5" x14ac:dyDescent="0.25">
      <c r="A109" s="37"/>
      <c r="B109" s="40"/>
      <c r="C109" s="40"/>
      <c r="D109" s="41"/>
      <c r="E109" s="30"/>
      <c r="F109" s="30">
        <v>48</v>
      </c>
      <c r="G109" s="8">
        <f t="shared" si="10"/>
        <v>4.9401404144134728</v>
      </c>
      <c r="H109" s="33">
        <f t="shared" si="9"/>
        <v>0.50843723571086086</v>
      </c>
      <c r="I109">
        <v>103</v>
      </c>
    </row>
    <row r="110" spans="1:9" ht="16.5" x14ac:dyDescent="0.25">
      <c r="A110" s="37"/>
      <c r="B110" s="40"/>
      <c r="C110" s="40"/>
      <c r="D110" s="39" t="s">
        <v>29</v>
      </c>
      <c r="E110" s="30" t="s">
        <v>28</v>
      </c>
      <c r="F110" s="30">
        <v>2</v>
      </c>
      <c r="G110" s="8">
        <f t="shared" si="10"/>
        <v>0.20583918393389469</v>
      </c>
      <c r="H110" s="33">
        <f t="shared" si="9"/>
        <v>2.1184884821285867E-2</v>
      </c>
      <c r="I110">
        <v>39</v>
      </c>
    </row>
    <row r="111" spans="1:9" ht="16.5" x14ac:dyDescent="0.25">
      <c r="A111" s="37"/>
      <c r="B111" s="41"/>
      <c r="C111" s="41"/>
      <c r="D111" s="41"/>
      <c r="E111" s="30"/>
      <c r="F111" s="29">
        <v>48</v>
      </c>
      <c r="G111" s="8">
        <f t="shared" si="10"/>
        <v>4.9401404144134728</v>
      </c>
      <c r="H111" s="33">
        <f t="shared" si="9"/>
        <v>0.50843723571086086</v>
      </c>
      <c r="I111">
        <v>104</v>
      </c>
    </row>
    <row r="112" spans="1:9" ht="16.5" x14ac:dyDescent="0.25">
      <c r="A112" s="37"/>
      <c r="B112" s="39" t="s">
        <v>17</v>
      </c>
      <c r="C112" s="39" t="s">
        <v>23</v>
      </c>
      <c r="D112" s="39" t="s">
        <v>23</v>
      </c>
      <c r="E112" s="30" t="s">
        <v>28</v>
      </c>
      <c r="F112" s="29">
        <v>3</v>
      </c>
      <c r="G112" s="8">
        <f t="shared" si="10"/>
        <v>0.30875877590084205</v>
      </c>
      <c r="H112" s="33">
        <f>$D$7*(F112+F114+F116+F118)/SUM($F$104:$F$131)</f>
        <v>0.82335673573557877</v>
      </c>
      <c r="I112">
        <v>40</v>
      </c>
    </row>
    <row r="113" spans="1:9" ht="16.5" x14ac:dyDescent="0.25">
      <c r="A113" s="37"/>
      <c r="B113" s="40"/>
      <c r="C113" s="40"/>
      <c r="D113" s="41"/>
      <c r="E113" s="30"/>
      <c r="F113" s="30">
        <v>793</v>
      </c>
      <c r="G113" s="8">
        <f t="shared" si="10"/>
        <v>81.615236429789249</v>
      </c>
      <c r="H113" s="33">
        <f t="shared" si="9"/>
        <v>8.3998068316398466</v>
      </c>
      <c r="I113">
        <v>105</v>
      </c>
    </row>
    <row r="114" spans="1:9" ht="16.5" x14ac:dyDescent="0.25">
      <c r="A114" s="37"/>
      <c r="B114" s="40"/>
      <c r="C114" s="40"/>
      <c r="D114" s="39" t="s">
        <v>29</v>
      </c>
      <c r="E114" s="30" t="s">
        <v>28</v>
      </c>
      <c r="F114" s="30">
        <v>2</v>
      </c>
      <c r="G114" s="8">
        <f t="shared" si="10"/>
        <v>0.20583918393389469</v>
      </c>
      <c r="H114" s="33">
        <f t="shared" si="9"/>
        <v>2.1184884821285867E-2</v>
      </c>
      <c r="I114">
        <v>41</v>
      </c>
    </row>
    <row r="115" spans="1:9" ht="16.5" x14ac:dyDescent="0.25">
      <c r="A115" s="37"/>
      <c r="B115" s="40"/>
      <c r="C115" s="41"/>
      <c r="D115" s="41"/>
      <c r="E115" s="30"/>
      <c r="F115" s="30">
        <v>427</v>
      </c>
      <c r="G115" s="8">
        <f t="shared" si="10"/>
        <v>43.946665769886515</v>
      </c>
      <c r="H115" s="33">
        <f t="shared" si="9"/>
        <v>4.5229729093445323</v>
      </c>
      <c r="I115">
        <v>106</v>
      </c>
    </row>
    <row r="116" spans="1:9" ht="16.5" x14ac:dyDescent="0.25">
      <c r="A116" s="37"/>
      <c r="B116" s="40"/>
      <c r="C116" s="39" t="s">
        <v>24</v>
      </c>
      <c r="D116" s="39" t="s">
        <v>23</v>
      </c>
      <c r="E116" s="30" t="s">
        <v>28</v>
      </c>
      <c r="F116" s="30">
        <v>0</v>
      </c>
      <c r="G116" s="8">
        <f t="shared" si="10"/>
        <v>0</v>
      </c>
      <c r="H116" s="33">
        <f t="shared" si="9"/>
        <v>0</v>
      </c>
      <c r="I116" t="s">
        <v>31</v>
      </c>
    </row>
    <row r="117" spans="1:9" ht="16.5" x14ac:dyDescent="0.25">
      <c r="A117" s="37"/>
      <c r="B117" s="40"/>
      <c r="C117" s="40"/>
      <c r="D117" s="41"/>
      <c r="E117" s="30"/>
      <c r="F117" s="30">
        <v>403</v>
      </c>
      <c r="G117" s="8">
        <f t="shared" si="10"/>
        <v>41.476595562679783</v>
      </c>
      <c r="H117" s="33">
        <f t="shared" si="9"/>
        <v>4.2687542914891017</v>
      </c>
      <c r="I117">
        <v>107</v>
      </c>
    </row>
    <row r="118" spans="1:9" ht="16.5" x14ac:dyDescent="0.25">
      <c r="A118" s="37"/>
      <c r="B118" s="40"/>
      <c r="C118" s="40"/>
      <c r="D118" s="39" t="s">
        <v>29</v>
      </c>
      <c r="E118" s="30" t="s">
        <v>28</v>
      </c>
      <c r="F118" s="30">
        <v>3</v>
      </c>
      <c r="G118" s="8">
        <f t="shared" si="10"/>
        <v>0.30875877590084205</v>
      </c>
      <c r="H118" s="33">
        <f t="shared" si="9"/>
        <v>3.1777327231928804E-2</v>
      </c>
      <c r="I118">
        <v>42</v>
      </c>
    </row>
    <row r="119" spans="1:9" ht="16.5" x14ac:dyDescent="0.25">
      <c r="A119" s="37"/>
      <c r="B119" s="41"/>
      <c r="C119" s="41"/>
      <c r="D119" s="41"/>
      <c r="E119" s="30"/>
      <c r="F119" s="29">
        <v>316</v>
      </c>
      <c r="G119" s="8">
        <f t="shared" si="10"/>
        <v>32.52259106155536</v>
      </c>
      <c r="H119" s="33">
        <f t="shared" si="9"/>
        <v>3.3472118017631671</v>
      </c>
      <c r="I119">
        <v>108</v>
      </c>
    </row>
    <row r="120" spans="1:9" ht="16.5" x14ac:dyDescent="0.25">
      <c r="A120" s="37"/>
      <c r="B120" s="39" t="s">
        <v>18</v>
      </c>
      <c r="C120" s="39" t="s">
        <v>24</v>
      </c>
      <c r="D120" s="39" t="s">
        <v>23</v>
      </c>
      <c r="E120" s="30" t="s">
        <v>28</v>
      </c>
      <c r="F120" s="29">
        <v>2</v>
      </c>
      <c r="G120" s="8">
        <f t="shared" si="10"/>
        <v>0.20583918393389469</v>
      </c>
      <c r="H120" s="33">
        <f>$D$7*(F120+F122)/SUM($F$104:$F$131)</f>
        <v>0.61751755180168411</v>
      </c>
      <c r="I120">
        <v>43</v>
      </c>
    </row>
    <row r="121" spans="1:9" ht="16.5" x14ac:dyDescent="0.25">
      <c r="A121" s="37"/>
      <c r="B121" s="40"/>
      <c r="C121" s="40"/>
      <c r="D121" s="41"/>
      <c r="E121" s="30"/>
      <c r="F121" s="30">
        <v>764</v>
      </c>
      <c r="G121" s="8">
        <f t="shared" si="10"/>
        <v>78.630568262747772</v>
      </c>
      <c r="H121" s="33">
        <f t="shared" ref="H121:H123" si="11">$D$4*G121/SUM($F$20:$F$47)</f>
        <v>8.0926260017312011</v>
      </c>
      <c r="I121">
        <v>109</v>
      </c>
    </row>
    <row r="122" spans="1:9" ht="16.5" x14ac:dyDescent="0.25">
      <c r="A122" s="37"/>
      <c r="B122" s="40"/>
      <c r="C122" s="40"/>
      <c r="D122" s="39" t="s">
        <v>29</v>
      </c>
      <c r="E122" s="30" t="s">
        <v>28</v>
      </c>
      <c r="F122" s="30">
        <v>4</v>
      </c>
      <c r="G122" s="8">
        <f t="shared" si="10"/>
        <v>0.41167836786778939</v>
      </c>
      <c r="H122" s="33">
        <f t="shared" si="11"/>
        <v>4.2369769642571734E-2</v>
      </c>
      <c r="I122">
        <v>44</v>
      </c>
    </row>
    <row r="123" spans="1:9" ht="16.5" x14ac:dyDescent="0.25">
      <c r="A123" s="37"/>
      <c r="B123" s="41"/>
      <c r="C123" s="41"/>
      <c r="D123" s="41"/>
      <c r="E123" s="30"/>
      <c r="F123" s="30">
        <v>711</v>
      </c>
      <c r="G123" s="8">
        <f t="shared" si="10"/>
        <v>73.175829888499564</v>
      </c>
      <c r="H123" s="33">
        <f t="shared" si="11"/>
        <v>7.5312265539671257</v>
      </c>
      <c r="I123">
        <v>110</v>
      </c>
    </row>
    <row r="124" spans="1:9" ht="16.5" x14ac:dyDescent="0.25">
      <c r="A124" s="37"/>
      <c r="B124" s="39" t="s">
        <v>19</v>
      </c>
      <c r="C124" s="39" t="s">
        <v>23</v>
      </c>
      <c r="D124" s="39" t="s">
        <v>23</v>
      </c>
      <c r="E124" s="30" t="s">
        <v>28</v>
      </c>
      <c r="F124" s="29">
        <v>1</v>
      </c>
      <c r="G124" s="8">
        <f t="shared" si="10"/>
        <v>0.10291959196694735</v>
      </c>
      <c r="H124" s="33">
        <f>$D$7*(F124+F126+F128+F130)/SUM($F$104:$F$131)</f>
        <v>4.4255424545787356</v>
      </c>
      <c r="I124">
        <v>45</v>
      </c>
    </row>
    <row r="125" spans="1:9" ht="16.5" x14ac:dyDescent="0.25">
      <c r="A125" s="37"/>
      <c r="B125" s="40"/>
      <c r="C125" s="40"/>
      <c r="D125" s="41"/>
      <c r="E125" s="30"/>
      <c r="F125" s="30">
        <v>345</v>
      </c>
      <c r="G125" s="8">
        <f t="shared" si="10"/>
        <v>35.507259228596837</v>
      </c>
      <c r="H125" s="33">
        <f t="shared" ref="H125:H147" si="12">$D$4*G125/SUM($F$20:$F$47)</f>
        <v>3.6543926316718118</v>
      </c>
      <c r="I125">
        <v>111</v>
      </c>
    </row>
    <row r="126" spans="1:9" ht="16.5" x14ac:dyDescent="0.25">
      <c r="A126" s="37"/>
      <c r="B126" s="40"/>
      <c r="C126" s="40"/>
      <c r="D126" s="39" t="s">
        <v>29</v>
      </c>
      <c r="E126" s="30" t="s">
        <v>28</v>
      </c>
      <c r="F126" s="30">
        <v>2</v>
      </c>
      <c r="G126" s="8">
        <f t="shared" si="10"/>
        <v>0.20583918393389469</v>
      </c>
      <c r="H126" s="33">
        <f t="shared" si="12"/>
        <v>2.1184884821285867E-2</v>
      </c>
      <c r="I126">
        <v>46</v>
      </c>
    </row>
    <row r="127" spans="1:9" ht="16.5" x14ac:dyDescent="0.25">
      <c r="A127" s="37"/>
      <c r="B127" s="40"/>
      <c r="C127" s="41"/>
      <c r="D127" s="41"/>
      <c r="E127" s="30"/>
      <c r="F127" s="30">
        <v>153</v>
      </c>
      <c r="G127" s="8">
        <f t="shared" si="10"/>
        <v>15.746697570942946</v>
      </c>
      <c r="H127" s="33">
        <f t="shared" si="12"/>
        <v>1.6206436888283691</v>
      </c>
      <c r="I127">
        <v>112</v>
      </c>
    </row>
    <row r="128" spans="1:9" ht="16.5" x14ac:dyDescent="0.25">
      <c r="A128" s="37"/>
      <c r="B128" s="40"/>
      <c r="C128" s="39" t="s">
        <v>24</v>
      </c>
      <c r="D128" s="39" t="s">
        <v>23</v>
      </c>
      <c r="E128" s="30" t="s">
        <v>28</v>
      </c>
      <c r="F128" s="30">
        <v>21</v>
      </c>
      <c r="G128" s="8">
        <f t="shared" si="10"/>
        <v>2.1613114313058945</v>
      </c>
      <c r="H128" s="33">
        <f t="shared" si="12"/>
        <v>0.22244129062350165</v>
      </c>
      <c r="I128">
        <v>47</v>
      </c>
    </row>
    <row r="129" spans="1:9" ht="16.5" x14ac:dyDescent="0.25">
      <c r="A129" s="37"/>
      <c r="B129" s="40"/>
      <c r="C129" s="40"/>
      <c r="D129" s="41"/>
      <c r="E129" s="30"/>
      <c r="F129" s="30">
        <v>272</v>
      </c>
      <c r="G129" s="8">
        <f t="shared" si="10"/>
        <v>27.99412901500968</v>
      </c>
      <c r="H129" s="33">
        <f t="shared" si="12"/>
        <v>2.881144335694878</v>
      </c>
      <c r="I129">
        <v>113</v>
      </c>
    </row>
    <row r="130" spans="1:9" ht="16.5" x14ac:dyDescent="0.25">
      <c r="A130" s="37"/>
      <c r="B130" s="40"/>
      <c r="C130" s="40"/>
      <c r="D130" s="39" t="s">
        <v>29</v>
      </c>
      <c r="E130" s="30" t="s">
        <v>28</v>
      </c>
      <c r="F130" s="30">
        <v>19</v>
      </c>
      <c r="G130" s="8">
        <f t="shared" si="10"/>
        <v>1.9554722473719997</v>
      </c>
      <c r="H130" s="33">
        <f t="shared" si="12"/>
        <v>0.20125640580221571</v>
      </c>
      <c r="I130">
        <v>48</v>
      </c>
    </row>
    <row r="131" spans="1:9" ht="16.5" x14ac:dyDescent="0.25">
      <c r="A131" s="38"/>
      <c r="B131" s="41"/>
      <c r="C131" s="41"/>
      <c r="D131" s="41"/>
      <c r="E131" s="30"/>
      <c r="F131" s="29">
        <v>331</v>
      </c>
      <c r="G131" s="8">
        <f t="shared" si="10"/>
        <v>34.066384941059574</v>
      </c>
      <c r="H131" s="33">
        <f t="shared" si="12"/>
        <v>3.5060984379228115</v>
      </c>
      <c r="I131">
        <v>114</v>
      </c>
    </row>
    <row r="132" spans="1:9" ht="16.5" x14ac:dyDescent="0.25">
      <c r="A132" s="42" t="s">
        <v>30</v>
      </c>
      <c r="B132" s="45" t="s">
        <v>16</v>
      </c>
      <c r="C132" s="45" t="s">
        <v>23</v>
      </c>
      <c r="D132" s="39" t="s">
        <v>23</v>
      </c>
      <c r="E132" s="30" t="s">
        <v>28</v>
      </c>
      <c r="F132" s="31">
        <v>0</v>
      </c>
      <c r="G132" s="8">
        <f>$D$8*F132/SUM($F$132:$F$159)</f>
        <v>0</v>
      </c>
      <c r="H132" s="33">
        <f>$D$8*(F132+F134+F136+F138)/SUM($F$132:$F$159)</f>
        <v>0.61751755180168411</v>
      </c>
      <c r="I132" t="s">
        <v>31</v>
      </c>
    </row>
    <row r="133" spans="1:9" ht="16.5" x14ac:dyDescent="0.25">
      <c r="A133" s="43"/>
      <c r="B133" s="45"/>
      <c r="C133" s="45"/>
      <c r="D133" s="41"/>
      <c r="E133" s="30"/>
      <c r="F133" s="31">
        <v>9</v>
      </c>
      <c r="G133" s="8">
        <f t="shared" ref="G133:G159" si="13">$D$8*F133/SUM($F$132:$F$159)</f>
        <v>0.9262763277025261</v>
      </c>
      <c r="H133" s="33">
        <f t="shared" si="12"/>
        <v>9.5331981695786397E-2</v>
      </c>
      <c r="I133">
        <v>115</v>
      </c>
    </row>
    <row r="134" spans="1:9" ht="16.5" x14ac:dyDescent="0.25">
      <c r="A134" s="43"/>
      <c r="B134" s="45"/>
      <c r="C134" s="45"/>
      <c r="D134" s="39" t="s">
        <v>29</v>
      </c>
      <c r="E134" s="30" t="s">
        <v>28</v>
      </c>
      <c r="F134" s="31">
        <v>6</v>
      </c>
      <c r="G134" s="8">
        <f t="shared" si="13"/>
        <v>0.61751755180168411</v>
      </c>
      <c r="H134" s="33">
        <f t="shared" si="12"/>
        <v>6.3554654463857607E-2</v>
      </c>
      <c r="I134">
        <v>49</v>
      </c>
    </row>
    <row r="135" spans="1:9" ht="16.5" x14ac:dyDescent="0.25">
      <c r="A135" s="43"/>
      <c r="B135" s="45"/>
      <c r="C135" s="45"/>
      <c r="D135" s="41"/>
      <c r="E135" s="30"/>
      <c r="F135" s="31">
        <v>11</v>
      </c>
      <c r="G135" s="8">
        <f t="shared" si="13"/>
        <v>1.1321155116364208</v>
      </c>
      <c r="H135" s="33">
        <f t="shared" si="12"/>
        <v>0.11651686651707227</v>
      </c>
      <c r="I135">
        <v>116</v>
      </c>
    </row>
    <row r="136" spans="1:9" ht="16.5" x14ac:dyDescent="0.25">
      <c r="A136" s="43"/>
      <c r="B136" s="45"/>
      <c r="C136" s="45" t="s">
        <v>24</v>
      </c>
      <c r="D136" s="39" t="s">
        <v>23</v>
      </c>
      <c r="E136" s="30" t="s">
        <v>28</v>
      </c>
      <c r="F136" s="31">
        <v>0</v>
      </c>
      <c r="G136" s="8">
        <f t="shared" si="13"/>
        <v>0</v>
      </c>
      <c r="H136" s="33">
        <f t="shared" si="12"/>
        <v>0</v>
      </c>
      <c r="I136" t="s">
        <v>31</v>
      </c>
    </row>
    <row r="137" spans="1:9" ht="16.5" x14ac:dyDescent="0.25">
      <c r="A137" s="43"/>
      <c r="B137" s="45"/>
      <c r="C137" s="45"/>
      <c r="D137" s="41"/>
      <c r="E137" s="30"/>
      <c r="F137" s="31">
        <v>2</v>
      </c>
      <c r="G137" s="8">
        <f t="shared" si="13"/>
        <v>0.20583918393389469</v>
      </c>
      <c r="H137" s="33">
        <f t="shared" si="12"/>
        <v>2.1184884821285867E-2</v>
      </c>
      <c r="I137">
        <v>117</v>
      </c>
    </row>
    <row r="138" spans="1:9" ht="16.5" x14ac:dyDescent="0.25">
      <c r="A138" s="43"/>
      <c r="B138" s="45"/>
      <c r="C138" s="45"/>
      <c r="D138" s="39" t="s">
        <v>29</v>
      </c>
      <c r="E138" s="30" t="s">
        <v>28</v>
      </c>
      <c r="F138" s="31">
        <v>0</v>
      </c>
      <c r="G138" s="8">
        <f t="shared" si="13"/>
        <v>0</v>
      </c>
      <c r="H138" s="33">
        <f t="shared" si="12"/>
        <v>0</v>
      </c>
      <c r="I138" t="s">
        <v>31</v>
      </c>
    </row>
    <row r="139" spans="1:9" ht="16.5" x14ac:dyDescent="0.25">
      <c r="A139" s="43"/>
      <c r="B139" s="45"/>
      <c r="C139" s="45"/>
      <c r="D139" s="41"/>
      <c r="E139" s="30"/>
      <c r="F139" s="31">
        <v>1</v>
      </c>
      <c r="G139" s="8">
        <f t="shared" si="13"/>
        <v>0.10291959196694735</v>
      </c>
      <c r="H139" s="33">
        <f t="shared" si="12"/>
        <v>1.0592442410642933E-2</v>
      </c>
      <c r="I139">
        <v>118</v>
      </c>
    </row>
    <row r="140" spans="1:9" ht="16.5" x14ac:dyDescent="0.25">
      <c r="A140" s="43"/>
      <c r="B140" s="45" t="s">
        <v>17</v>
      </c>
      <c r="C140" s="45" t="s">
        <v>23</v>
      </c>
      <c r="D140" s="39" t="s">
        <v>23</v>
      </c>
      <c r="E140" s="30" t="s">
        <v>28</v>
      </c>
      <c r="F140" s="31">
        <v>9</v>
      </c>
      <c r="G140" s="8">
        <f t="shared" si="13"/>
        <v>0.9262763277025261</v>
      </c>
      <c r="H140" s="33">
        <f>$D$8*(F140+F142+F144+F146)/SUM($F$132:$F$159)</f>
        <v>3.3963465349092621</v>
      </c>
      <c r="I140">
        <v>50</v>
      </c>
    </row>
    <row r="141" spans="1:9" ht="16.5" x14ac:dyDescent="0.25">
      <c r="A141" s="43"/>
      <c r="B141" s="45"/>
      <c r="C141" s="45"/>
      <c r="D141" s="41"/>
      <c r="E141" s="30"/>
      <c r="F141" s="31">
        <v>19</v>
      </c>
      <c r="G141" s="8">
        <f t="shared" si="13"/>
        <v>1.9554722473719997</v>
      </c>
      <c r="H141" s="33">
        <f t="shared" si="12"/>
        <v>0.20125640580221571</v>
      </c>
      <c r="I141">
        <v>119</v>
      </c>
    </row>
    <row r="142" spans="1:9" ht="16.5" x14ac:dyDescent="0.25">
      <c r="A142" s="43"/>
      <c r="B142" s="45"/>
      <c r="C142" s="45"/>
      <c r="D142" s="39" t="s">
        <v>29</v>
      </c>
      <c r="E142" s="30" t="s">
        <v>28</v>
      </c>
      <c r="F142" s="31">
        <v>8</v>
      </c>
      <c r="G142" s="8">
        <f t="shared" si="13"/>
        <v>0.82335673573557877</v>
      </c>
      <c r="H142" s="33">
        <f t="shared" si="12"/>
        <v>8.4739539285143467E-2</v>
      </c>
      <c r="I142">
        <v>51</v>
      </c>
    </row>
    <row r="143" spans="1:9" ht="16.5" x14ac:dyDescent="0.25">
      <c r="A143" s="43"/>
      <c r="B143" s="45"/>
      <c r="C143" s="45"/>
      <c r="D143" s="41"/>
      <c r="E143" s="30"/>
      <c r="F143" s="31">
        <v>10</v>
      </c>
      <c r="G143" s="8">
        <f t="shared" si="13"/>
        <v>1.0291959196694735</v>
      </c>
      <c r="H143" s="33">
        <f t="shared" si="12"/>
        <v>0.10592442410642933</v>
      </c>
      <c r="I143">
        <v>120</v>
      </c>
    </row>
    <row r="144" spans="1:9" ht="16.5" x14ac:dyDescent="0.25">
      <c r="A144" s="43"/>
      <c r="B144" s="45"/>
      <c r="C144" s="45" t="s">
        <v>24</v>
      </c>
      <c r="D144" s="39" t="s">
        <v>23</v>
      </c>
      <c r="E144" s="30" t="s">
        <v>28</v>
      </c>
      <c r="F144" s="31">
        <v>2</v>
      </c>
      <c r="G144" s="8">
        <f t="shared" si="13"/>
        <v>0.20583918393389469</v>
      </c>
      <c r="H144" s="33">
        <f t="shared" si="12"/>
        <v>2.1184884821285867E-2</v>
      </c>
      <c r="I144">
        <v>52</v>
      </c>
    </row>
    <row r="145" spans="1:9" ht="16.5" x14ac:dyDescent="0.25">
      <c r="A145" s="43"/>
      <c r="B145" s="45"/>
      <c r="C145" s="45"/>
      <c r="D145" s="41"/>
      <c r="E145" s="30"/>
      <c r="F145" s="31">
        <v>10</v>
      </c>
      <c r="G145" s="8">
        <f t="shared" si="13"/>
        <v>1.0291959196694735</v>
      </c>
      <c r="H145" s="33">
        <f t="shared" si="12"/>
        <v>0.10592442410642933</v>
      </c>
      <c r="I145">
        <v>121</v>
      </c>
    </row>
    <row r="146" spans="1:9" ht="16.5" x14ac:dyDescent="0.25">
      <c r="A146" s="43"/>
      <c r="B146" s="45"/>
      <c r="C146" s="45"/>
      <c r="D146" s="39" t="s">
        <v>29</v>
      </c>
      <c r="E146" s="30" t="s">
        <v>28</v>
      </c>
      <c r="F146" s="31">
        <v>14</v>
      </c>
      <c r="G146" s="8">
        <f t="shared" si="13"/>
        <v>1.4408742875372629</v>
      </c>
      <c r="H146" s="33">
        <f t="shared" si="12"/>
        <v>0.14829419374900107</v>
      </c>
      <c r="I146">
        <v>53</v>
      </c>
    </row>
    <row r="147" spans="1:9" ht="16.5" x14ac:dyDescent="0.25">
      <c r="A147" s="43"/>
      <c r="B147" s="45"/>
      <c r="C147" s="45"/>
      <c r="D147" s="41"/>
      <c r="E147" s="30"/>
      <c r="F147" s="31">
        <v>16</v>
      </c>
      <c r="G147" s="8">
        <f t="shared" si="13"/>
        <v>1.6467134714711575</v>
      </c>
      <c r="H147" s="33">
        <f t="shared" si="12"/>
        <v>0.16947907857028693</v>
      </c>
      <c r="I147">
        <v>122</v>
      </c>
    </row>
    <row r="148" spans="1:9" ht="16.5" x14ac:dyDescent="0.25">
      <c r="A148" s="43"/>
      <c r="B148" s="45" t="s">
        <v>18</v>
      </c>
      <c r="C148" s="45" t="s">
        <v>24</v>
      </c>
      <c r="D148" s="39" t="s">
        <v>23</v>
      </c>
      <c r="E148" s="30" t="s">
        <v>28</v>
      </c>
      <c r="F148" s="31">
        <v>0</v>
      </c>
      <c r="G148" s="8">
        <f t="shared" si="13"/>
        <v>0</v>
      </c>
      <c r="H148" s="33">
        <f>$D$8*(F148+F150)/SUM($F$132:$F$159)</f>
        <v>0.51459795983473677</v>
      </c>
      <c r="I148" t="s">
        <v>31</v>
      </c>
    </row>
    <row r="149" spans="1:9" ht="16.5" x14ac:dyDescent="0.25">
      <c r="A149" s="43"/>
      <c r="B149" s="45"/>
      <c r="C149" s="45"/>
      <c r="D149" s="41"/>
      <c r="E149" s="30"/>
      <c r="F149" s="31">
        <v>4</v>
      </c>
      <c r="G149" s="8">
        <f t="shared" si="13"/>
        <v>0.41167836786778939</v>
      </c>
      <c r="H149" s="33">
        <f t="shared" ref="H149:H151" si="14">$D$4*G149/SUM($F$20:$F$47)</f>
        <v>4.2369769642571734E-2</v>
      </c>
      <c r="I149">
        <v>123</v>
      </c>
    </row>
    <row r="150" spans="1:9" ht="16.5" x14ac:dyDescent="0.25">
      <c r="A150" s="43"/>
      <c r="B150" s="45"/>
      <c r="C150" s="45"/>
      <c r="D150" s="39" t="s">
        <v>29</v>
      </c>
      <c r="E150" s="30" t="s">
        <v>28</v>
      </c>
      <c r="F150" s="31">
        <v>5</v>
      </c>
      <c r="G150" s="8">
        <f t="shared" si="13"/>
        <v>0.51459795983473677</v>
      </c>
      <c r="H150" s="33">
        <f t="shared" si="14"/>
        <v>5.2962212053214663E-2</v>
      </c>
      <c r="I150">
        <v>54</v>
      </c>
    </row>
    <row r="151" spans="1:9" ht="16.5" x14ac:dyDescent="0.25">
      <c r="A151" s="43"/>
      <c r="B151" s="45"/>
      <c r="C151" s="45"/>
      <c r="D151" s="41"/>
      <c r="E151" s="30"/>
      <c r="F151" s="31">
        <v>13</v>
      </c>
      <c r="G151" s="8">
        <f t="shared" si="13"/>
        <v>1.3379546955703157</v>
      </c>
      <c r="H151" s="33">
        <f t="shared" si="14"/>
        <v>0.13770175133835816</v>
      </c>
      <c r="I151">
        <v>124</v>
      </c>
    </row>
    <row r="152" spans="1:9" ht="16.5" x14ac:dyDescent="0.25">
      <c r="A152" s="43"/>
      <c r="B152" s="45" t="s">
        <v>19</v>
      </c>
      <c r="C152" s="45" t="s">
        <v>23</v>
      </c>
      <c r="D152" s="39" t="s">
        <v>23</v>
      </c>
      <c r="E152" s="30" t="s">
        <v>28</v>
      </c>
      <c r="F152" s="31">
        <v>1</v>
      </c>
      <c r="G152" s="8">
        <f t="shared" si="13"/>
        <v>0.10291959196694735</v>
      </c>
      <c r="H152" s="33">
        <f>$D$8*(F152+F154+F156+F158)/SUM($F$132:$F$159)</f>
        <v>0.82335673573557877</v>
      </c>
      <c r="I152">
        <v>55</v>
      </c>
    </row>
    <row r="153" spans="1:9" ht="16.5" x14ac:dyDescent="0.25">
      <c r="A153" s="43"/>
      <c r="B153" s="45"/>
      <c r="C153" s="45"/>
      <c r="D153" s="41"/>
      <c r="E153" s="30"/>
      <c r="F153" s="31">
        <v>4</v>
      </c>
      <c r="G153" s="8">
        <f t="shared" si="13"/>
        <v>0.41167836786778939</v>
      </c>
      <c r="H153" s="33">
        <f t="shared" ref="H153:H159" si="15">$D$4*G153/SUM($F$20:$F$47)</f>
        <v>4.2369769642571734E-2</v>
      </c>
      <c r="I153">
        <v>125</v>
      </c>
    </row>
    <row r="154" spans="1:9" ht="16.5" x14ac:dyDescent="0.25">
      <c r="A154" s="43"/>
      <c r="B154" s="45"/>
      <c r="C154" s="45"/>
      <c r="D154" s="39" t="s">
        <v>29</v>
      </c>
      <c r="E154" s="30" t="s">
        <v>28</v>
      </c>
      <c r="F154" s="31">
        <v>1</v>
      </c>
      <c r="G154" s="8">
        <f t="shared" si="13"/>
        <v>0.10291959196694735</v>
      </c>
      <c r="H154" s="33">
        <f t="shared" si="15"/>
        <v>1.0592442410642933E-2</v>
      </c>
      <c r="I154">
        <v>56</v>
      </c>
    </row>
    <row r="155" spans="1:9" ht="16.5" x14ac:dyDescent="0.25">
      <c r="A155" s="43"/>
      <c r="B155" s="45"/>
      <c r="C155" s="45"/>
      <c r="D155" s="41"/>
      <c r="E155" s="30"/>
      <c r="F155" s="31">
        <v>3</v>
      </c>
      <c r="G155" s="8">
        <f t="shared" si="13"/>
        <v>0.30875877590084205</v>
      </c>
      <c r="H155" s="33">
        <f t="shared" si="15"/>
        <v>3.1777327231928804E-2</v>
      </c>
      <c r="I155">
        <v>126</v>
      </c>
    </row>
    <row r="156" spans="1:9" ht="16.5" x14ac:dyDescent="0.25">
      <c r="A156" s="43"/>
      <c r="B156" s="45"/>
      <c r="C156" s="45" t="s">
        <v>24</v>
      </c>
      <c r="D156" s="39" t="s">
        <v>23</v>
      </c>
      <c r="E156" s="30" t="s">
        <v>28</v>
      </c>
      <c r="F156" s="31">
        <v>5</v>
      </c>
      <c r="G156" s="8">
        <f t="shared" si="13"/>
        <v>0.51459795983473677</v>
      </c>
      <c r="H156" s="33">
        <f t="shared" si="15"/>
        <v>5.2962212053214663E-2</v>
      </c>
      <c r="I156">
        <v>57</v>
      </c>
    </row>
    <row r="157" spans="1:9" ht="16.5" x14ac:dyDescent="0.25">
      <c r="A157" s="43"/>
      <c r="B157" s="45"/>
      <c r="C157" s="45"/>
      <c r="D157" s="41"/>
      <c r="E157" s="30"/>
      <c r="F157" s="31">
        <v>5</v>
      </c>
      <c r="G157" s="8">
        <f t="shared" si="13"/>
        <v>0.51459795983473677</v>
      </c>
      <c r="H157" s="33">
        <f t="shared" si="15"/>
        <v>5.2962212053214663E-2</v>
      </c>
      <c r="I157">
        <v>127</v>
      </c>
    </row>
    <row r="158" spans="1:9" ht="16.5" x14ac:dyDescent="0.25">
      <c r="A158" s="43"/>
      <c r="B158" s="45"/>
      <c r="C158" s="45"/>
      <c r="D158" s="39" t="s">
        <v>29</v>
      </c>
      <c r="E158" s="30" t="s">
        <v>28</v>
      </c>
      <c r="F158" s="31">
        <v>1</v>
      </c>
      <c r="G158" s="8">
        <f t="shared" si="13"/>
        <v>0.10291959196694735</v>
      </c>
      <c r="H158" s="33">
        <f t="shared" si="15"/>
        <v>1.0592442410642933E-2</v>
      </c>
      <c r="I158">
        <v>58</v>
      </c>
    </row>
    <row r="159" spans="1:9" ht="16.5" x14ac:dyDescent="0.25">
      <c r="A159" s="44"/>
      <c r="B159" s="45"/>
      <c r="C159" s="45"/>
      <c r="D159" s="41"/>
      <c r="E159" s="30"/>
      <c r="F159" s="31">
        <v>4</v>
      </c>
      <c r="G159" s="8">
        <f t="shared" si="13"/>
        <v>0.41167836786778939</v>
      </c>
      <c r="H159" s="33">
        <f t="shared" si="15"/>
        <v>4.2369769642571734E-2</v>
      </c>
      <c r="I159">
        <v>128</v>
      </c>
    </row>
  </sheetData>
  <mergeCells count="152">
    <mergeCell ref="D152:D153"/>
    <mergeCell ref="D154:D155"/>
    <mergeCell ref="D156:D157"/>
    <mergeCell ref="D158:D159"/>
    <mergeCell ref="D142:D143"/>
    <mergeCell ref="D144:D145"/>
    <mergeCell ref="D146:D147"/>
    <mergeCell ref="D148:D149"/>
    <mergeCell ref="D150:D151"/>
    <mergeCell ref="D132:D133"/>
    <mergeCell ref="D134:D135"/>
    <mergeCell ref="D136:D137"/>
    <mergeCell ref="D138:D139"/>
    <mergeCell ref="D140:D141"/>
    <mergeCell ref="D124:D125"/>
    <mergeCell ref="D126:D127"/>
    <mergeCell ref="D128:D129"/>
    <mergeCell ref="D130:D131"/>
    <mergeCell ref="A132:A159"/>
    <mergeCell ref="B132:B139"/>
    <mergeCell ref="B140:B147"/>
    <mergeCell ref="B148:B151"/>
    <mergeCell ref="B152:B159"/>
    <mergeCell ref="C132:C135"/>
    <mergeCell ref="C136:C139"/>
    <mergeCell ref="C140:C143"/>
    <mergeCell ref="C144:C147"/>
    <mergeCell ref="C148:C151"/>
    <mergeCell ref="C152:C155"/>
    <mergeCell ref="C156:C159"/>
    <mergeCell ref="B124:B131"/>
    <mergeCell ref="C104:C107"/>
    <mergeCell ref="C108:C111"/>
    <mergeCell ref="C112:C115"/>
    <mergeCell ref="C116:C119"/>
    <mergeCell ref="C120:C123"/>
    <mergeCell ref="C124:C127"/>
    <mergeCell ref="C128:C131"/>
    <mergeCell ref="D94:D95"/>
    <mergeCell ref="D96:D97"/>
    <mergeCell ref="D98:D99"/>
    <mergeCell ref="D100:D101"/>
    <mergeCell ref="D102:D103"/>
    <mergeCell ref="D114:D115"/>
    <mergeCell ref="D116:D117"/>
    <mergeCell ref="D118:D119"/>
    <mergeCell ref="D120:D121"/>
    <mergeCell ref="D122:D123"/>
    <mergeCell ref="D104:D105"/>
    <mergeCell ref="D106:D107"/>
    <mergeCell ref="D108:D109"/>
    <mergeCell ref="D110:D111"/>
    <mergeCell ref="D112:D113"/>
    <mergeCell ref="B84:B91"/>
    <mergeCell ref="B92:B95"/>
    <mergeCell ref="B96:B103"/>
    <mergeCell ref="A76:A103"/>
    <mergeCell ref="C76:C79"/>
    <mergeCell ref="C80:C83"/>
    <mergeCell ref="C84:C87"/>
    <mergeCell ref="C88:C91"/>
    <mergeCell ref="C92:C95"/>
    <mergeCell ref="C96:C99"/>
    <mergeCell ref="C100:C103"/>
    <mergeCell ref="B76:B83"/>
    <mergeCell ref="B36:B39"/>
    <mergeCell ref="C40:C43"/>
    <mergeCell ref="B40:B47"/>
    <mergeCell ref="B64:B67"/>
    <mergeCell ref="C64:C67"/>
    <mergeCell ref="B68:B75"/>
    <mergeCell ref="C68:C71"/>
    <mergeCell ref="C72:C75"/>
    <mergeCell ref="A20:A47"/>
    <mergeCell ref="B48:B55"/>
    <mergeCell ref="C48:C51"/>
    <mergeCell ref="C52:C55"/>
    <mergeCell ref="B56:B63"/>
    <mergeCell ref="C56:C59"/>
    <mergeCell ref="C60:C63"/>
    <mergeCell ref="A48:A75"/>
    <mergeCell ref="C44:C47"/>
    <mergeCell ref="B20:B27"/>
    <mergeCell ref="B28:B35"/>
    <mergeCell ref="C28:C31"/>
    <mergeCell ref="C32:C35"/>
    <mergeCell ref="C20:C23"/>
    <mergeCell ref="C24:C27"/>
    <mergeCell ref="C36:C39"/>
    <mergeCell ref="H120:H123"/>
    <mergeCell ref="H124:H131"/>
    <mergeCell ref="D60:D61"/>
    <mergeCell ref="D62:D63"/>
    <mergeCell ref="D64:D65"/>
    <mergeCell ref="D66:D67"/>
    <mergeCell ref="D68:D69"/>
    <mergeCell ref="D70:D71"/>
    <mergeCell ref="D72:D73"/>
    <mergeCell ref="D74:D75"/>
    <mergeCell ref="D92:D93"/>
    <mergeCell ref="D76:D77"/>
    <mergeCell ref="D78:D79"/>
    <mergeCell ref="D80:D81"/>
    <mergeCell ref="D82:D83"/>
    <mergeCell ref="D84:D85"/>
    <mergeCell ref="D86:D87"/>
    <mergeCell ref="D88:D89"/>
    <mergeCell ref="D90:D91"/>
    <mergeCell ref="D28:D29"/>
    <mergeCell ref="D30:D31"/>
    <mergeCell ref="D32:D33"/>
    <mergeCell ref="D34:D35"/>
    <mergeCell ref="D20:D21"/>
    <mergeCell ref="D22:D23"/>
    <mergeCell ref="D24:D25"/>
    <mergeCell ref="D26:D27"/>
    <mergeCell ref="D58:D59"/>
    <mergeCell ref="D48:D49"/>
    <mergeCell ref="D50:D51"/>
    <mergeCell ref="D52:D53"/>
    <mergeCell ref="D54:D55"/>
    <mergeCell ref="D56:D57"/>
    <mergeCell ref="D40:D41"/>
    <mergeCell ref="D42:D43"/>
    <mergeCell ref="D44:D45"/>
    <mergeCell ref="D46:D47"/>
    <mergeCell ref="D36:D37"/>
    <mergeCell ref="D38:D39"/>
    <mergeCell ref="H132:H139"/>
    <mergeCell ref="H140:H147"/>
    <mergeCell ref="H148:H151"/>
    <mergeCell ref="H152:H159"/>
    <mergeCell ref="A2:E2"/>
    <mergeCell ref="C13:E13"/>
    <mergeCell ref="A104:A131"/>
    <mergeCell ref="B104:B111"/>
    <mergeCell ref="B112:B119"/>
    <mergeCell ref="B120:B123"/>
    <mergeCell ref="H20:H27"/>
    <mergeCell ref="H28:H35"/>
    <mergeCell ref="H36:H39"/>
    <mergeCell ref="H40:H47"/>
    <mergeCell ref="H48:H55"/>
    <mergeCell ref="H56:H63"/>
    <mergeCell ref="H64:H67"/>
    <mergeCell ref="H68:H75"/>
    <mergeCell ref="H76:H83"/>
    <mergeCell ref="H84:H91"/>
    <mergeCell ref="H92:H95"/>
    <mergeCell ref="H96:H103"/>
    <mergeCell ref="H104:H111"/>
    <mergeCell ref="H112:H1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size calculation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Qian (TCU)</dc:creator>
  <cp:lastModifiedBy>Dilts, Jill (MLTSD)</cp:lastModifiedBy>
  <cp:lastPrinted>2016-09-23T13:54:30Z</cp:lastPrinted>
  <dcterms:created xsi:type="dcterms:W3CDTF">2016-08-23T18:32:46Z</dcterms:created>
  <dcterms:modified xsi:type="dcterms:W3CDTF">2022-02-13T21:27:14Z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2022-02-13T18:33:36Z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f3fad712-c687-4238-a836-aadf56427eed</vt:lpwstr>
  </property>
  <property fmtid="{D5CDD505-2E9C-101B-9397-08002B2CF9AE}" pid="8" name="MSIP_Label_034a106e-6316-442c-ad35-738afd673d2b_ContentBits">
    <vt:lpwstr>0</vt:lpwstr>
  </property>
</Properties>
</file>